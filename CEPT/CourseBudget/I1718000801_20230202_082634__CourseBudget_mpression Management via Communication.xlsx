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andiparikh/Desktop/"/>
    </mc:Choice>
  </mc:AlternateContent>
  <xr:revisionPtr revIDLastSave="0" documentId="8_{555A1F57-F6FA-3647-A72C-7AD6C7CDE4D0}" xr6:coauthVersionLast="47" xr6:coauthVersionMax="47" xr10:uidLastSave="{00000000-0000-0000-0000-000000000000}"/>
  <bookViews>
    <workbookView xWindow="0" yWindow="460" windowWidth="28800" windowHeight="16500" xr2:uid="{2DF2E7E7-0C4F-EE44-977D-D11D600FFA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3" i="1" l="1"/>
  <c r="C46" i="1"/>
  <c r="C22" i="1"/>
  <c r="C23" i="1" s="1"/>
  <c r="H4" i="1"/>
  <c r="C38" i="1"/>
  <c r="C7" i="1"/>
  <c r="C69" i="1"/>
  <c r="C68" i="1"/>
  <c r="C10" i="1" s="1"/>
  <c r="C11" i="1" s="1"/>
  <c r="C51" i="1"/>
  <c r="C40" i="1"/>
  <c r="C12" i="1" l="1"/>
  <c r="C13" i="1" s="1"/>
  <c r="C24" i="1"/>
  <c r="C25" i="1" s="1"/>
  <c r="C31" i="1" s="1"/>
  <c r="C43" i="1"/>
  <c r="C39" i="1" l="1"/>
  <c r="C37" i="1" s="1"/>
  <c r="C14" i="1" s="1"/>
  <c r="C17" i="1" s="1"/>
  <c r="C15" i="1" l="1"/>
</calcChain>
</file>

<file path=xl/sharedStrings.xml><?xml version="1.0" encoding="utf-8"?>
<sst xmlns="http://schemas.openxmlformats.org/spreadsheetml/2006/main" count="93" uniqueCount="77">
  <si>
    <t>Course Credits:</t>
  </si>
  <si>
    <t>Type of Course:</t>
  </si>
  <si>
    <t>On Campus</t>
  </si>
  <si>
    <t>Travel in India</t>
  </si>
  <si>
    <t>Contact Hours per Tutor</t>
  </si>
  <si>
    <t>Additional Hours per Tutor</t>
  </si>
  <si>
    <t>Total Hours per Tutor</t>
  </si>
  <si>
    <t>Number of Tutors</t>
  </si>
  <si>
    <t>One tutor</t>
  </si>
  <si>
    <t>Two tutors</t>
  </si>
  <si>
    <t xml:space="preserve">Per Credit Contact Hours: </t>
  </si>
  <si>
    <t xml:space="preserve">Course Type: </t>
  </si>
  <si>
    <t>Elective</t>
  </si>
  <si>
    <t>Mandatory</t>
  </si>
  <si>
    <t>Rate for Tutor 1</t>
  </si>
  <si>
    <t>Rate for Tutor 2</t>
  </si>
  <si>
    <t>TA Hours (if applicable)</t>
  </si>
  <si>
    <t>TA Rate</t>
  </si>
  <si>
    <t>Total Tutor Hours (All Tutors)</t>
  </si>
  <si>
    <t>Payment to Tutor 1</t>
  </si>
  <si>
    <t>Payment to Tutor 2</t>
  </si>
  <si>
    <t>Payment to TA</t>
  </si>
  <si>
    <t>Travel Expenses</t>
  </si>
  <si>
    <t>Number of Days Stay</t>
  </si>
  <si>
    <t>Manpower Cost</t>
  </si>
  <si>
    <t>Any other Costs</t>
  </si>
  <si>
    <t>EXPENSE CALCULATIONS</t>
  </si>
  <si>
    <t>A</t>
  </si>
  <si>
    <t>B</t>
  </si>
  <si>
    <t>C</t>
  </si>
  <si>
    <t xml:space="preserve">Student fee per credit </t>
  </si>
  <si>
    <t>Total Expenses</t>
  </si>
  <si>
    <t>Total Expected Fees</t>
  </si>
  <si>
    <t>Yes</t>
  </si>
  <si>
    <t>No</t>
  </si>
  <si>
    <t>Approval by Provost</t>
  </si>
  <si>
    <t>Budget Approval</t>
  </si>
  <si>
    <t>University Component</t>
  </si>
  <si>
    <t>Faculty Component</t>
  </si>
  <si>
    <t>Surplus/Deficit</t>
  </si>
  <si>
    <t>Decided Min  Students</t>
  </si>
  <si>
    <t>Min. Students as per policy:</t>
  </si>
  <si>
    <t>PARAMETERS</t>
  </si>
  <si>
    <t>D</t>
  </si>
  <si>
    <t>Accomodation Per Day Rate</t>
  </si>
  <si>
    <t xml:space="preserve">Course Level: </t>
  </si>
  <si>
    <t>UG</t>
  </si>
  <si>
    <t>PG</t>
  </si>
  <si>
    <t>BUDGET PLANNING TEMPLATE</t>
  </si>
  <si>
    <t>Min Students Per Course as per Policy</t>
  </si>
  <si>
    <t>Course Credits</t>
  </si>
  <si>
    <t>Cells in Yellow can be edited</t>
  </si>
  <si>
    <t>Online</t>
  </si>
  <si>
    <t>Total Hours for Tutor 1</t>
  </si>
  <si>
    <t>Total Hours for Tutor 2</t>
  </si>
  <si>
    <t>Total Per Diem</t>
  </si>
  <si>
    <t>Travel Tickets (Total)</t>
  </si>
  <si>
    <t>Local Travel (Total)</t>
  </si>
  <si>
    <t>Accomodation / Stay (Total)</t>
  </si>
  <si>
    <t xml:space="preserve">Per Credit Other Hours: </t>
  </si>
  <si>
    <t>Payment for any other resource</t>
  </si>
  <si>
    <t>All amounts in INR only</t>
  </si>
  <si>
    <t>Particulars</t>
  </si>
  <si>
    <t>Enter Options / Data</t>
  </si>
  <si>
    <t>Comments</t>
  </si>
  <si>
    <t>Enter Name of Tutor</t>
  </si>
  <si>
    <t>Enter Experience of Tutor as per CV</t>
  </si>
  <si>
    <t>Enter details of type of resource: Special Lecture, Reviewer, etc</t>
  </si>
  <si>
    <t>Any specifics of Local Travel</t>
  </si>
  <si>
    <t>Comments if any</t>
  </si>
  <si>
    <t>As per CEPT University Policies</t>
  </si>
  <si>
    <t>Air travel or Train or Road, Destination To and From (including Visa)</t>
  </si>
  <si>
    <t>TA is usually not compensated for Travel, Stay and Per Diem for Summer &amp; Winter Courses</t>
  </si>
  <si>
    <t>Accomodation rate for Tutor 1 + Tutor 2 as applicable</t>
  </si>
  <si>
    <t>Per Diem total amount inclusive of Tutor 1, Tutor 2 as applicable</t>
  </si>
  <si>
    <t>Travel International / International VF Travelling to India</t>
  </si>
  <si>
    <t>Material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</si>
</sst>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0" xfId="0" applyFill="1" applyAlignment="1" applyProtection="1">
      <alignment horizontal="right" vertical="top"/>
      <protection locked="0"/>
    </xf>
    <xf numFmtId="164" fontId="0" fillId="2" borderId="0" xfId="1" applyNumberFormat="1" applyFont="1" applyFill="1" applyAlignment="1" applyProtection="1">
      <alignment horizontal="right" vertical="top"/>
      <protection locked="0"/>
    </xf>
    <xf numFmtId="0" fontId="0" fillId="2" borderId="0" xfId="0" applyFill="1" applyAlignment="1" applyProtection="1">
      <alignment vertical="top"/>
      <protection locked="0"/>
    </xf>
    <xf numFmtId="0" fontId="0" fillId="0" borderId="0" xfId="0" applyAlignment="1">
      <alignment horizontal="right" vertical="top"/>
    </xf>
    <xf numFmtId="0" fontId="0" fillId="0" borderId="0" xfId="0" applyAlignment="1">
      <alignment vertical="top"/>
    </xf>
    <xf numFmtId="0" fontId="4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164" fontId="0" fillId="0" borderId="0" xfId="0" applyNumberFormat="1" applyAlignment="1">
      <alignment horizontal="right" vertical="top"/>
    </xf>
    <xf numFmtId="0" fontId="2" fillId="0" borderId="0" xfId="0" applyFont="1" applyAlignment="1">
      <alignment vertical="top"/>
    </xf>
    <xf numFmtId="164" fontId="2" fillId="0" borderId="0" xfId="0" applyNumberFormat="1" applyFont="1" applyAlignment="1">
      <alignment horizontal="right" vertical="top"/>
    </xf>
    <xf numFmtId="0" fontId="0" fillId="0" borderId="1" xfId="0" applyBorder="1" applyAlignment="1">
      <alignment vertical="top"/>
    </xf>
    <xf numFmtId="38" fontId="2" fillId="0" borderId="0" xfId="1" applyNumberFormat="1" applyFont="1" applyAlignment="1" applyProtection="1">
      <alignment horizontal="right" vertical="top"/>
    </xf>
    <xf numFmtId="0" fontId="3" fillId="0" borderId="0" xfId="0" applyFont="1" applyAlignment="1">
      <alignment vertical="top"/>
    </xf>
    <xf numFmtId="164" fontId="3" fillId="0" borderId="0" xfId="0" applyNumberFormat="1" applyFont="1" applyAlignment="1">
      <alignment horizontal="right" vertical="top"/>
    </xf>
    <xf numFmtId="164" fontId="0" fillId="0" borderId="0" xfId="1" applyNumberFormat="1" applyFont="1" applyAlignment="1" applyProtection="1">
      <alignment horizontal="right" vertical="top"/>
    </xf>
    <xf numFmtId="0" fontId="2" fillId="0" borderId="0" xfId="0" applyFont="1" applyAlignment="1">
      <alignment horizontal="right" vertical="top"/>
    </xf>
    <xf numFmtId="0" fontId="5" fillId="2" borderId="0" xfId="0" applyFont="1" applyFill="1" applyAlignment="1" applyProtection="1">
      <alignment vertical="top"/>
      <protection locked="0"/>
    </xf>
    <xf numFmtId="0" fontId="2" fillId="0" borderId="0" xfId="0" applyFont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B30B2-DF90-994B-9F6A-0B0C7CB8D496}">
  <dimension ref="A1:I77"/>
  <sheetViews>
    <sheetView tabSelected="1" zoomScale="114" zoomScaleNormal="66" workbookViewId="0">
      <selection activeCell="C53" sqref="C53"/>
    </sheetView>
  </sheetViews>
  <sheetFormatPr baseColWidth="10" defaultColWidth="10.83203125" defaultRowHeight="16" x14ac:dyDescent="0.2"/>
  <cols>
    <col min="1" max="1" width="4.5" style="4" customWidth="1"/>
    <col min="2" max="2" width="31" style="5" customWidth="1"/>
    <col min="3" max="3" width="20.33203125" style="4" customWidth="1"/>
    <col min="4" max="4" width="55.5" style="5" customWidth="1"/>
    <col min="5" max="5" width="6" style="5" customWidth="1"/>
    <col min="6" max="6" width="48.5" style="5" bestFit="1" customWidth="1"/>
    <col min="7" max="16384" width="10.83203125" style="5"/>
  </cols>
  <sheetData>
    <row r="1" spans="1:9" ht="19" x14ac:dyDescent="0.2">
      <c r="B1" s="6" t="s">
        <v>48</v>
      </c>
      <c r="F1" s="9" t="s">
        <v>70</v>
      </c>
    </row>
    <row r="2" spans="1:9" x14ac:dyDescent="0.2">
      <c r="A2" s="16" t="s">
        <v>34</v>
      </c>
      <c r="B2" s="9" t="s">
        <v>62</v>
      </c>
      <c r="C2" s="16" t="s">
        <v>63</v>
      </c>
      <c r="D2" s="9" t="s">
        <v>64</v>
      </c>
      <c r="G2" s="5" t="s">
        <v>12</v>
      </c>
      <c r="H2" s="5" t="s">
        <v>13</v>
      </c>
    </row>
    <row r="3" spans="1:9" x14ac:dyDescent="0.2">
      <c r="A3" s="4">
        <v>1</v>
      </c>
      <c r="B3" s="5" t="s">
        <v>11</v>
      </c>
      <c r="C3" s="1" t="s">
        <v>12</v>
      </c>
      <c r="D3" s="17" t="s">
        <v>69</v>
      </c>
      <c r="F3" s="5" t="s">
        <v>10</v>
      </c>
      <c r="G3" s="5">
        <v>16</v>
      </c>
      <c r="H3" s="5">
        <v>12</v>
      </c>
    </row>
    <row r="4" spans="1:9" x14ac:dyDescent="0.2">
      <c r="A4" s="4">
        <v>2</v>
      </c>
      <c r="B4" s="5" t="s">
        <v>45</v>
      </c>
      <c r="C4" s="1" t="s">
        <v>46</v>
      </c>
      <c r="D4" s="17" t="s">
        <v>69</v>
      </c>
      <c r="F4" s="5" t="s">
        <v>59</v>
      </c>
      <c r="G4" s="5">
        <v>8</v>
      </c>
      <c r="H4" s="5">
        <f>SUM(G3:G4)-H3</f>
        <v>12</v>
      </c>
    </row>
    <row r="5" spans="1:9" x14ac:dyDescent="0.2">
      <c r="A5" s="4">
        <v>3</v>
      </c>
      <c r="B5" s="5" t="s">
        <v>0</v>
      </c>
      <c r="C5" s="1">
        <v>2</v>
      </c>
      <c r="D5" s="17" t="s">
        <v>69</v>
      </c>
    </row>
    <row r="6" spans="1:9" x14ac:dyDescent="0.2">
      <c r="A6" s="4">
        <v>4</v>
      </c>
      <c r="B6" s="5" t="s">
        <v>1</v>
      </c>
      <c r="C6" s="1" t="s">
        <v>52</v>
      </c>
      <c r="D6" s="17" t="s">
        <v>69</v>
      </c>
      <c r="F6" s="5" t="s">
        <v>49</v>
      </c>
    </row>
    <row r="7" spans="1:9" x14ac:dyDescent="0.2">
      <c r="A7" s="5">
        <v>5</v>
      </c>
      <c r="B7" s="5" t="s">
        <v>41</v>
      </c>
      <c r="C7" s="4">
        <f>IF(C20=F8,INDEX(G9:I17,MATCH(C6,F9:F17),MATCH(C5,G8:I8)),INDEX(G20:I23,MATCH(C6,F20:F23),MATCH(C5,G8:I8)))</f>
        <v>6</v>
      </c>
      <c r="G7" s="18" t="s">
        <v>50</v>
      </c>
      <c r="H7" s="18"/>
      <c r="I7" s="18"/>
    </row>
    <row r="8" spans="1:9" x14ac:dyDescent="0.2">
      <c r="F8" s="7" t="s">
        <v>8</v>
      </c>
      <c r="G8" s="7">
        <v>2</v>
      </c>
      <c r="H8" s="7">
        <v>3</v>
      </c>
      <c r="I8" s="7">
        <v>5</v>
      </c>
    </row>
    <row r="9" spans="1:9" x14ac:dyDescent="0.2">
      <c r="A9" s="4">
        <v>6</v>
      </c>
      <c r="B9" s="5" t="s">
        <v>40</v>
      </c>
      <c r="C9" s="1">
        <v>30</v>
      </c>
      <c r="D9" s="17" t="s">
        <v>69</v>
      </c>
      <c r="F9" s="5" t="s">
        <v>52</v>
      </c>
      <c r="G9" s="5">
        <v>6</v>
      </c>
      <c r="H9" s="5">
        <v>6</v>
      </c>
      <c r="I9" s="5">
        <v>6</v>
      </c>
    </row>
    <row r="10" spans="1:9" x14ac:dyDescent="0.2">
      <c r="A10" s="4">
        <v>7</v>
      </c>
      <c r="B10" s="5" t="s">
        <v>30</v>
      </c>
      <c r="C10" s="8">
        <f>VLOOKUP(C4,B68:C69,2,FALSE)</f>
        <v>8000</v>
      </c>
      <c r="F10" s="5" t="s">
        <v>2</v>
      </c>
      <c r="G10" s="5">
        <v>6</v>
      </c>
      <c r="H10" s="5">
        <v>6</v>
      </c>
      <c r="I10" s="5">
        <v>6</v>
      </c>
    </row>
    <row r="11" spans="1:9" hidden="1" x14ac:dyDescent="0.2">
      <c r="A11" s="4">
        <v>8</v>
      </c>
      <c r="B11" s="9" t="s">
        <v>32</v>
      </c>
      <c r="C11" s="10">
        <f>C9*C10*C5</f>
        <v>480000</v>
      </c>
    </row>
    <row r="12" spans="1:9" hidden="1" x14ac:dyDescent="0.2">
      <c r="A12" s="4">
        <v>9</v>
      </c>
      <c r="B12" s="4" t="s">
        <v>37</v>
      </c>
      <c r="C12" s="8">
        <f>0.5*C11</f>
        <v>240000</v>
      </c>
    </row>
    <row r="13" spans="1:9" hidden="1" x14ac:dyDescent="0.2">
      <c r="A13" s="4">
        <v>10</v>
      </c>
      <c r="B13" s="4" t="s">
        <v>38</v>
      </c>
      <c r="C13" s="8">
        <f>C11-C12</f>
        <v>240000</v>
      </c>
    </row>
    <row r="14" spans="1:9" hidden="1" x14ac:dyDescent="0.2">
      <c r="A14" s="4">
        <v>11</v>
      </c>
      <c r="B14" s="9" t="s">
        <v>31</v>
      </c>
      <c r="C14" s="10">
        <f>C37+C43+C51</f>
        <v>2000</v>
      </c>
    </row>
    <row r="15" spans="1:9" hidden="1" x14ac:dyDescent="0.2">
      <c r="A15" s="5">
        <v>12</v>
      </c>
      <c r="B15" s="9" t="s">
        <v>39</v>
      </c>
      <c r="C15" s="12" t="str">
        <f>IF(C13-C14&gt;0,"Surplus",IF(C13-C14=0,"Break Even","Deficit"))</f>
        <v>Surplus</v>
      </c>
    </row>
    <row r="16" spans="1:9" x14ac:dyDescent="0.2">
      <c r="C16" s="8"/>
      <c r="F16" s="5" t="s">
        <v>3</v>
      </c>
      <c r="G16" s="5">
        <v>15</v>
      </c>
      <c r="H16" s="5">
        <v>14</v>
      </c>
      <c r="I16" s="5">
        <v>13</v>
      </c>
    </row>
    <row r="17" spans="1:9" ht="21" x14ac:dyDescent="0.2">
      <c r="B17" s="13" t="s">
        <v>36</v>
      </c>
      <c r="C17" s="14" t="str">
        <f>IF(C14/C13&lt;=1,"Yes",IF(C14/C13&lt;=1.2,"Special Approval","No"))</f>
        <v>Yes</v>
      </c>
      <c r="F17" s="5" t="s">
        <v>75</v>
      </c>
      <c r="G17" s="5">
        <v>34</v>
      </c>
      <c r="H17" s="5">
        <v>27</v>
      </c>
      <c r="I17" s="5">
        <v>21</v>
      </c>
    </row>
    <row r="18" spans="1:9" x14ac:dyDescent="0.2">
      <c r="C18" s="8"/>
    </row>
    <row r="19" spans="1:9" x14ac:dyDescent="0.2">
      <c r="A19" s="4" t="s">
        <v>27</v>
      </c>
      <c r="B19" s="9" t="s">
        <v>42</v>
      </c>
      <c r="F19" s="7" t="s">
        <v>9</v>
      </c>
      <c r="G19" s="11"/>
      <c r="H19" s="11"/>
      <c r="I19" s="11"/>
    </row>
    <row r="20" spans="1:9" x14ac:dyDescent="0.2">
      <c r="A20" s="4">
        <v>1</v>
      </c>
      <c r="B20" s="5" t="s">
        <v>7</v>
      </c>
      <c r="C20" s="1" t="s">
        <v>8</v>
      </c>
      <c r="F20" s="5" t="s">
        <v>52</v>
      </c>
      <c r="G20" s="5">
        <v>10</v>
      </c>
      <c r="H20" s="5">
        <v>10</v>
      </c>
      <c r="I20" s="5">
        <v>10</v>
      </c>
    </row>
    <row r="21" spans="1:9" x14ac:dyDescent="0.2">
      <c r="A21" s="5"/>
      <c r="F21" s="5" t="s">
        <v>2</v>
      </c>
      <c r="G21" s="5">
        <v>10</v>
      </c>
      <c r="H21" s="5">
        <v>10</v>
      </c>
      <c r="I21" s="5">
        <v>10</v>
      </c>
    </row>
    <row r="22" spans="1:9" x14ac:dyDescent="0.2">
      <c r="A22" s="4">
        <v>2</v>
      </c>
      <c r="B22" s="5" t="s">
        <v>4</v>
      </c>
      <c r="C22" s="4">
        <f>C5*IF(C3=G2,G3,IF(C3=H2,H3,"Error"))</f>
        <v>32</v>
      </c>
      <c r="F22" s="5" t="s">
        <v>3</v>
      </c>
      <c r="G22" s="5">
        <v>27</v>
      </c>
      <c r="H22" s="5">
        <v>25</v>
      </c>
      <c r="I22" s="5">
        <v>23</v>
      </c>
    </row>
    <row r="23" spans="1:9" x14ac:dyDescent="0.2">
      <c r="A23" s="4">
        <v>3</v>
      </c>
      <c r="B23" s="5" t="s">
        <v>5</v>
      </c>
      <c r="C23" s="4">
        <f>C22*IF(C3=G2,0.5,1)</f>
        <v>16</v>
      </c>
      <c r="F23" s="5" t="str">
        <f>F17</f>
        <v>Travel International / International VF Travelling to India</v>
      </c>
      <c r="G23" s="5">
        <v>68</v>
      </c>
      <c r="H23" s="5">
        <v>56</v>
      </c>
      <c r="I23" s="5">
        <v>42</v>
      </c>
    </row>
    <row r="24" spans="1:9" x14ac:dyDescent="0.2">
      <c r="A24" s="4">
        <v>4</v>
      </c>
      <c r="B24" s="5" t="s">
        <v>6</v>
      </c>
      <c r="C24" s="4">
        <f>C22+C23</f>
        <v>48</v>
      </c>
    </row>
    <row r="25" spans="1:9" x14ac:dyDescent="0.2">
      <c r="A25" s="4">
        <v>5</v>
      </c>
      <c r="B25" s="5" t="s">
        <v>18</v>
      </c>
      <c r="C25" s="4">
        <f>IF(C20=F8,C24,IF(C20=F19,C24*2,"error"))</f>
        <v>48</v>
      </c>
    </row>
    <row r="27" spans="1:9" x14ac:dyDescent="0.2">
      <c r="A27" s="4">
        <v>6</v>
      </c>
      <c r="B27" s="5" t="s">
        <v>14</v>
      </c>
      <c r="C27" s="1">
        <v>1225</v>
      </c>
      <c r="D27" s="3">
        <v>25</v>
      </c>
    </row>
    <row r="28" spans="1:9" x14ac:dyDescent="0.2">
      <c r="B28" s="5" t="s">
        <v>53</v>
      </c>
      <c r="C28" s="1"/>
      <c r="D28" s="3">
        <v>48</v>
      </c>
    </row>
    <row r="29" spans="1:9" x14ac:dyDescent="0.2">
      <c r="C29" s="5"/>
    </row>
    <row r="30" spans="1:9" x14ac:dyDescent="0.2">
      <c r="A30" s="4">
        <v>7</v>
      </c>
      <c r="B30" s="5" t="s">
        <v>15</v>
      </c>
      <c r="C30" s="1"/>
      <c r="D30" s="3" t="s">
        <v>66</v>
      </c>
    </row>
    <row r="31" spans="1:9" x14ac:dyDescent="0.2">
      <c r="B31" s="5" t="s">
        <v>54</v>
      </c>
      <c r="C31" s="4">
        <f>C25-C28</f>
        <v>48</v>
      </c>
      <c r="D31" s="3" t="s">
        <v>65</v>
      </c>
    </row>
    <row r="33" spans="1:4" x14ac:dyDescent="0.2">
      <c r="A33" s="4">
        <v>8</v>
      </c>
      <c r="B33" s="5" t="s">
        <v>16</v>
      </c>
      <c r="C33" s="1"/>
      <c r="D33" s="3"/>
    </row>
    <row r="34" spans="1:4" x14ac:dyDescent="0.2">
      <c r="A34" s="4">
        <v>9</v>
      </c>
      <c r="B34" s="5" t="s">
        <v>17</v>
      </c>
      <c r="C34" s="1"/>
      <c r="D34" s="3"/>
    </row>
    <row r="36" spans="1:4" x14ac:dyDescent="0.2">
      <c r="A36" s="4" t="s">
        <v>28</v>
      </c>
      <c r="B36" s="9" t="s">
        <v>26</v>
      </c>
    </row>
    <row r="37" spans="1:4" x14ac:dyDescent="0.2">
      <c r="A37" s="4">
        <v>1</v>
      </c>
      <c r="B37" s="9" t="s">
        <v>24</v>
      </c>
      <c r="C37" s="10">
        <f>SUM(C38:C41)</f>
        <v>0</v>
      </c>
    </row>
    <row r="38" spans="1:4" x14ac:dyDescent="0.2">
      <c r="A38" s="4">
        <v>2</v>
      </c>
      <c r="B38" s="5" t="s">
        <v>19</v>
      </c>
      <c r="C38" s="15">
        <f>C27*C28</f>
        <v>0</v>
      </c>
    </row>
    <row r="39" spans="1:4" x14ac:dyDescent="0.2">
      <c r="A39" s="4">
        <v>3</v>
      </c>
      <c r="B39" s="5" t="s">
        <v>20</v>
      </c>
      <c r="C39" s="15">
        <f>IF(C20="One tutor",0,C30*C31)</f>
        <v>0</v>
      </c>
    </row>
    <row r="40" spans="1:4" x14ac:dyDescent="0.2">
      <c r="A40" s="4">
        <v>4</v>
      </c>
      <c r="B40" s="5" t="s">
        <v>21</v>
      </c>
      <c r="C40" s="15">
        <f>C34*C33</f>
        <v>0</v>
      </c>
    </row>
    <row r="41" spans="1:4" x14ac:dyDescent="0.2">
      <c r="A41" s="4">
        <v>5</v>
      </c>
      <c r="B41" s="5" t="s">
        <v>60</v>
      </c>
      <c r="C41" s="2"/>
      <c r="D41" s="3" t="s">
        <v>67</v>
      </c>
    </row>
    <row r="43" spans="1:4" x14ac:dyDescent="0.2">
      <c r="A43" s="4" t="s">
        <v>29</v>
      </c>
      <c r="B43" s="9" t="s">
        <v>22</v>
      </c>
      <c r="C43" s="8">
        <f>SUM(C44:C46)+C49</f>
        <v>0</v>
      </c>
    </row>
    <row r="44" spans="1:4" x14ac:dyDescent="0.2">
      <c r="A44" s="4">
        <v>1</v>
      </c>
      <c r="B44" s="5" t="s">
        <v>56</v>
      </c>
      <c r="C44" s="2"/>
      <c r="D44" s="3" t="s">
        <v>71</v>
      </c>
    </row>
    <row r="45" spans="1:4" x14ac:dyDescent="0.2">
      <c r="A45" s="4">
        <v>2</v>
      </c>
      <c r="B45" s="5" t="s">
        <v>57</v>
      </c>
      <c r="C45" s="2"/>
      <c r="D45" s="3" t="s">
        <v>68</v>
      </c>
    </row>
    <row r="46" spans="1:4" x14ac:dyDescent="0.2">
      <c r="A46" s="4">
        <v>3</v>
      </c>
      <c r="B46" s="5" t="s">
        <v>58</v>
      </c>
      <c r="C46" s="15">
        <f>C47*C48</f>
        <v>0</v>
      </c>
    </row>
    <row r="47" spans="1:4" x14ac:dyDescent="0.2">
      <c r="A47" s="4">
        <v>4</v>
      </c>
      <c r="B47" s="5" t="s">
        <v>44</v>
      </c>
      <c r="C47" s="2"/>
      <c r="D47" s="3" t="s">
        <v>73</v>
      </c>
    </row>
    <row r="48" spans="1:4" x14ac:dyDescent="0.2">
      <c r="A48" s="4">
        <v>5</v>
      </c>
      <c r="B48" s="5" t="s">
        <v>23</v>
      </c>
      <c r="C48" s="2"/>
      <c r="D48" s="3"/>
    </row>
    <row r="49" spans="1:4" x14ac:dyDescent="0.2">
      <c r="A49" s="4">
        <v>6</v>
      </c>
      <c r="B49" s="5" t="s">
        <v>55</v>
      </c>
      <c r="C49" s="2"/>
      <c r="D49" s="3" t="s">
        <v>74</v>
      </c>
    </row>
    <row r="51" spans="1:4" x14ac:dyDescent="0.2">
      <c r="A51" s="4" t="s">
        <v>43</v>
      </c>
      <c r="B51" s="9" t="s">
        <v>25</v>
      </c>
      <c r="C51" s="4">
        <f>SUM(C52:C56)</f>
        <v>2000</v>
      </c>
    </row>
    <row r="52" spans="1:4" x14ac:dyDescent="0.2">
      <c r="A52" s="4">
        <v>1</v>
      </c>
      <c r="B52" s="3" t="s">
        <v>76</v>
      </c>
      <c r="C52" s="1">
        <v>2000</v>
      </c>
      <c r="D52" s="3"/>
    </row>
    <row r="53" spans="1:4" x14ac:dyDescent="0.2">
      <c r="A53" s="4">
        <v>2</v>
      </c>
      <c r="B53" s="3"/>
      <c r="C53" s="1"/>
      <c r="D53" s="3"/>
    </row>
    <row r="54" spans="1:4" x14ac:dyDescent="0.2">
      <c r="A54" s="4">
        <v>3</v>
      </c>
      <c r="B54" s="3"/>
      <c r="C54" s="1"/>
      <c r="D54" s="3"/>
    </row>
    <row r="55" spans="1:4" x14ac:dyDescent="0.2">
      <c r="A55" s="4">
        <v>4</v>
      </c>
      <c r="B55" s="3"/>
      <c r="C55" s="1"/>
      <c r="D55" s="3"/>
    </row>
    <row r="56" spans="1:4" x14ac:dyDescent="0.2">
      <c r="A56" s="4">
        <v>5</v>
      </c>
      <c r="B56" s="3"/>
      <c r="C56" s="1"/>
      <c r="D56" s="3"/>
    </row>
    <row r="58" spans="1:4" x14ac:dyDescent="0.2">
      <c r="A58" s="4">
        <v>1</v>
      </c>
      <c r="B58" s="5" t="s">
        <v>51</v>
      </c>
    </row>
    <row r="59" spans="1:4" x14ac:dyDescent="0.2">
      <c r="A59" s="4">
        <v>2</v>
      </c>
      <c r="B59" s="5" t="s">
        <v>61</v>
      </c>
    </row>
    <row r="60" spans="1:4" x14ac:dyDescent="0.2">
      <c r="A60" s="4">
        <v>3</v>
      </c>
      <c r="B60" s="5" t="s">
        <v>72</v>
      </c>
    </row>
    <row r="63" spans="1:4" hidden="1" x14ac:dyDescent="0.2">
      <c r="B63" s="4" t="s">
        <v>8</v>
      </c>
    </row>
    <row r="64" spans="1:4" hidden="1" x14ac:dyDescent="0.2">
      <c r="B64" s="4" t="s">
        <v>9</v>
      </c>
    </row>
    <row r="65" spans="2:3" hidden="1" x14ac:dyDescent="0.2">
      <c r="B65" s="4" t="s">
        <v>12</v>
      </c>
      <c r="C65" s="5">
        <v>16</v>
      </c>
    </row>
    <row r="66" spans="2:3" hidden="1" x14ac:dyDescent="0.2">
      <c r="B66" s="4" t="s">
        <v>13</v>
      </c>
      <c r="C66" s="5">
        <v>12</v>
      </c>
    </row>
    <row r="67" spans="2:3" hidden="1" x14ac:dyDescent="0.2">
      <c r="B67" s="4"/>
      <c r="C67" s="5"/>
    </row>
    <row r="68" spans="2:3" hidden="1" x14ac:dyDescent="0.2">
      <c r="B68" s="4" t="s">
        <v>46</v>
      </c>
      <c r="C68" s="5">
        <f>320000/40</f>
        <v>8000</v>
      </c>
    </row>
    <row r="69" spans="2:3" hidden="1" x14ac:dyDescent="0.2">
      <c r="B69" s="4" t="s">
        <v>47</v>
      </c>
      <c r="C69" s="5">
        <f>378000/40</f>
        <v>9450</v>
      </c>
    </row>
    <row r="70" spans="2:3" hidden="1" x14ac:dyDescent="0.2">
      <c r="B70" s="4"/>
      <c r="C70" s="5"/>
    </row>
    <row r="71" spans="2:3" hidden="1" x14ac:dyDescent="0.2">
      <c r="B71" s="4" t="s">
        <v>33</v>
      </c>
      <c r="C71" s="5"/>
    </row>
    <row r="72" spans="2:3" hidden="1" x14ac:dyDescent="0.2">
      <c r="B72" s="4" t="s">
        <v>34</v>
      </c>
      <c r="C72" s="5"/>
    </row>
    <row r="73" spans="2:3" hidden="1" x14ac:dyDescent="0.2">
      <c r="B73" s="4" t="s">
        <v>35</v>
      </c>
      <c r="C73" s="5"/>
    </row>
    <row r="74" spans="2:3" hidden="1" x14ac:dyDescent="0.2">
      <c r="B74" s="4"/>
      <c r="C74" s="5"/>
    </row>
    <row r="75" spans="2:3" hidden="1" x14ac:dyDescent="0.2">
      <c r="B75" s="4">
        <v>775</v>
      </c>
      <c r="C75" s="5"/>
    </row>
    <row r="76" spans="2:3" hidden="1" x14ac:dyDescent="0.2">
      <c r="B76" s="4">
        <v>1000</v>
      </c>
      <c r="C76" s="5"/>
    </row>
    <row r="77" spans="2:3" hidden="1" x14ac:dyDescent="0.2">
      <c r="B77" s="4">
        <v>1225</v>
      </c>
      <c r="C77" s="5"/>
    </row>
  </sheetData>
  <sheetProtection algorithmName="SHA-512" hashValue="q7UNdk1nJBtNUq+ZZ1JlPcaikykwhb8F6kQks5uzfRotsgADCa65yyI//zZQClTcAXS1XlMH7HXHsBem3ypcDA==" saltValue="Nnx3dWTl47R2QltLUNzKQw==" spinCount="100000" sheet="1" objects="1" scenarios="1"/>
  <mergeCells count="1">
    <mergeCell ref="G7:I7"/>
  </mergeCells>
  <dataValidations count="9">
    <dataValidation type="list" allowBlank="1" showInputMessage="1" showErrorMessage="1" prompt="Select one" sqref="C5" xr:uid="{16CE3D2F-6FA8-B745-A6E1-0CB002C6E668}">
      <formula1>$G$8:$I$8</formula1>
    </dataValidation>
    <dataValidation allowBlank="1" showInputMessage="1" showErrorMessage="1" prompt="Fill in the Number based on Min. Students as per budget discussed with Dean." sqref="C9" xr:uid="{86EA12B2-7917-EE40-AA40-9C5740E692F0}"/>
    <dataValidation type="list" allowBlank="1" showInputMessage="1" showErrorMessage="1" sqref="C27 C30" xr:uid="{AFBFFBA1-C3C8-8E4B-BA33-219CD1BC293B}">
      <formula1>$B$75:$B$77</formula1>
    </dataValidation>
    <dataValidation type="list" allowBlank="1" showInputMessage="1" showErrorMessage="1" prompt="Select One" sqref="C3" xr:uid="{E5A206AB-BF1D-B34D-9411-03102BF07B9A}">
      <formula1>$B$65:$B$66</formula1>
    </dataValidation>
    <dataValidation type="list" allowBlank="1" showInputMessage="1" showErrorMessage="1" promptTitle="Select One" prompt="If the course is open to both UG &amp; PG, select UG. Otherwise select the relevant option." sqref="C4" xr:uid="{0489D6B2-16E5-FA45-9430-AF216DC0C596}">
      <formula1>$B$68:$B$69</formula1>
    </dataValidation>
    <dataValidation type="list" allowBlank="1" showInputMessage="1" showErrorMessage="1" sqref="C20" xr:uid="{0690BAC0-DB16-7048-820D-74B954974900}">
      <formula1>$B$63:$B$64</formula1>
    </dataValidation>
    <dataValidation type="whole" allowBlank="1" showInputMessage="1" showErrorMessage="1" sqref="C41" xr:uid="{5891F76A-E379-804F-B4BD-C1FF80F8DB0E}">
      <formula1>0</formula1>
      <formula2>1000000</formula2>
    </dataValidation>
    <dataValidation type="whole" allowBlank="1" showInputMessage="1" showErrorMessage="1" sqref="C48" xr:uid="{4DDF0A88-FF65-A745-BEB7-D137E1186B3F}">
      <formula1>0</formula1>
      <formula2>100</formula2>
    </dataValidation>
    <dataValidation type="list" allowBlank="1" showInputMessage="1" showErrorMessage="1" errorTitle="Select an option" error="Select an option" prompt="Select One" sqref="C6" xr:uid="{4895622E-0FB2-7540-A2C3-22ABCCAFAFB9}">
      <formula1>$F$9:$F$17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CEPT University</dc:creator>
  <cp:lastModifiedBy>Microsoft Office User</cp:lastModifiedBy>
  <dcterms:created xsi:type="dcterms:W3CDTF">2022-09-28T11:31:30Z</dcterms:created>
  <dcterms:modified xsi:type="dcterms:W3CDTF">2023-02-02T14:56:11Z</dcterms:modified>
</cp:coreProperties>
</file>