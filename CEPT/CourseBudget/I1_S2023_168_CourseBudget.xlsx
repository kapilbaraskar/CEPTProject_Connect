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160"/>
  </bookViews>
  <sheets>
    <sheet name="CGPA-SGPA" sheetId="1" r:id="rId1"/>
    <sheet name="Transcript" sheetId="2" r:id="rId2"/>
    <sheet name="CFP" sheetId="3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1" l="1"/>
  <c r="F30" i="1"/>
  <c r="B30" i="1"/>
  <c r="F27" i="1"/>
  <c r="F28" i="1"/>
  <c r="F29" i="1"/>
  <c r="F26" i="1"/>
  <c r="G21" i="1"/>
  <c r="F21" i="1"/>
  <c r="B21" i="1"/>
  <c r="F15" i="1"/>
  <c r="F16" i="1"/>
  <c r="F17" i="1"/>
  <c r="F18" i="1"/>
  <c r="F19" i="1"/>
  <c r="F20" i="1"/>
  <c r="F14" i="1"/>
</calcChain>
</file>

<file path=xl/sharedStrings.xml><?xml version="1.0" encoding="utf-8"?>
<sst xmlns="http://schemas.openxmlformats.org/spreadsheetml/2006/main" count="134" uniqueCount="44">
  <si>
    <t>B</t>
  </si>
  <si>
    <t>A</t>
  </si>
  <si>
    <t>O</t>
  </si>
  <si>
    <t>AR2604</t>
  </si>
  <si>
    <t>AR2605</t>
  </si>
  <si>
    <t>UR2705</t>
  </si>
  <si>
    <t>Credits</t>
  </si>
  <si>
    <t>Grade</t>
  </si>
  <si>
    <t>MONSOON 2021</t>
  </si>
  <si>
    <t>C</t>
  </si>
  <si>
    <t>F</t>
  </si>
  <si>
    <t>Point</t>
  </si>
  <si>
    <t>Numerical</t>
  </si>
  <si>
    <t>90-100</t>
  </si>
  <si>
    <t>80-89</t>
  </si>
  <si>
    <t>65-79</t>
  </si>
  <si>
    <t>55-64</t>
  </si>
  <si>
    <t>0-54</t>
  </si>
  <si>
    <t>A+</t>
  </si>
  <si>
    <t>A-</t>
  </si>
  <si>
    <t>B+</t>
  </si>
  <si>
    <t>B-</t>
  </si>
  <si>
    <t>C+</t>
  </si>
  <si>
    <t>C-</t>
  </si>
  <si>
    <t>D+</t>
  </si>
  <si>
    <t>D</t>
  </si>
  <si>
    <t>D-</t>
  </si>
  <si>
    <t>P</t>
  </si>
  <si>
    <t>NP</t>
  </si>
  <si>
    <t>IC</t>
  </si>
  <si>
    <t>NA</t>
  </si>
  <si>
    <r>
      <t>AR2021</t>
    </r>
    <r>
      <rPr>
        <sz val="10"/>
        <color theme="1"/>
        <rFont val="Calibri"/>
        <family val="2"/>
      </rPr>
      <t> </t>
    </r>
  </si>
  <si>
    <t>MONSOON 2016</t>
  </si>
  <si>
    <t>Before 2018</t>
  </si>
  <si>
    <t>After 2018</t>
  </si>
  <si>
    <t>Course-Code</t>
  </si>
  <si>
    <t xml:space="preserve">Grade </t>
  </si>
  <si>
    <t>Grade Point</t>
  </si>
  <si>
    <t>Marks</t>
  </si>
  <si>
    <t xml:space="preserve">Credits * Grade Point </t>
  </si>
  <si>
    <t>Total</t>
  </si>
  <si>
    <t>Student Code</t>
  </si>
  <si>
    <t>UC2215</t>
  </si>
  <si>
    <t>UAR20002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</si>
</sst>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142875</xdr:colOff>
          <xdr:row>3</xdr:row>
          <xdr:rowOff>114300</xdr:rowOff>
        </xdr:from>
        <xdr:to>
          <xdr:col>4</xdr:col>
          <xdr:colOff>419100</xdr:colOff>
          <xdr:row>10</xdr:row>
          <xdr:rowOff>133350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topLeftCell="A7" workbookViewId="0">
      <selection activeCell="L23" sqref="L23"/>
    </sheetView>
  </sheetViews>
  <sheetFormatPr defaultRowHeight="15" x14ac:dyDescent="0.25"/>
  <cols>
    <col min="1" max="1" width="13.140625" style="1" bestFit="1" customWidth="1"/>
    <col min="2" max="2" width="9.85546875" style="1" bestFit="1" customWidth="1"/>
    <col min="3" max="3" width="6" style="1" bestFit="1" customWidth="1"/>
    <col min="4" max="4" width="11.42578125" style="1" bestFit="1" customWidth="1"/>
    <col min="5" max="5" width="6.28515625" style="1" bestFit="1" customWidth="1"/>
    <col min="6" max="6" width="20.42578125" style="1" bestFit="1" customWidth="1"/>
    <col min="7" max="7" width="6" style="1" bestFit="1" customWidth="1"/>
    <col min="8" max="8" width="4" style="1" bestFit="1" customWidth="1"/>
    <col min="9" max="16384" width="9.140625" style="1"/>
  </cols>
  <sheetData>
    <row r="1" spans="1:17" x14ac:dyDescent="0.25">
      <c r="A1" s="1" t="s">
        <v>33</v>
      </c>
    </row>
    <row r="2" spans="1:17" x14ac:dyDescent="0.25">
      <c r="A2" s="1" t="s">
        <v>7</v>
      </c>
      <c r="B2" s="1" t="s">
        <v>18</v>
      </c>
      <c r="C2" s="1" t="s">
        <v>1</v>
      </c>
      <c r="D2" s="1" t="s">
        <v>19</v>
      </c>
      <c r="E2" s="1" t="s">
        <v>20</v>
      </c>
      <c r="F2" s="1" t="s">
        <v>0</v>
      </c>
      <c r="G2" s="1" t="s">
        <v>21</v>
      </c>
      <c r="H2" s="1" t="s">
        <v>22</v>
      </c>
      <c r="I2" s="1" t="s">
        <v>9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10</v>
      </c>
      <c r="O2" s="1" t="s">
        <v>27</v>
      </c>
      <c r="P2" s="1" t="s">
        <v>28</v>
      </c>
      <c r="Q2" s="1" t="s">
        <v>29</v>
      </c>
    </row>
    <row r="3" spans="1:17" x14ac:dyDescent="0.25">
      <c r="A3" s="1" t="s">
        <v>11</v>
      </c>
      <c r="B3" s="1">
        <v>4.3</v>
      </c>
      <c r="C3" s="1">
        <v>4</v>
      </c>
      <c r="D3" s="1">
        <v>3.7</v>
      </c>
      <c r="E3" s="1">
        <v>3.3</v>
      </c>
      <c r="F3" s="1">
        <v>3</v>
      </c>
      <c r="G3" s="1">
        <v>2.7</v>
      </c>
      <c r="H3" s="1">
        <v>2.2999999999999998</v>
      </c>
      <c r="I3" s="1">
        <v>2</v>
      </c>
      <c r="J3" s="1">
        <v>1.7</v>
      </c>
      <c r="K3" s="1">
        <v>1.3</v>
      </c>
      <c r="L3" s="1">
        <v>1</v>
      </c>
      <c r="M3" s="1">
        <v>0.7</v>
      </c>
      <c r="N3" s="1">
        <v>0</v>
      </c>
      <c r="O3" s="1" t="s">
        <v>30</v>
      </c>
      <c r="P3" s="1" t="s">
        <v>30</v>
      </c>
      <c r="Q3" s="1" t="s">
        <v>30</v>
      </c>
    </row>
    <row r="5" spans="1:17" x14ac:dyDescent="0.25">
      <c r="A5" s="1" t="s">
        <v>34</v>
      </c>
    </row>
    <row r="6" spans="1:17" x14ac:dyDescent="0.25">
      <c r="A6" s="1" t="s">
        <v>7</v>
      </c>
      <c r="B6" s="1" t="s">
        <v>2</v>
      </c>
      <c r="C6" s="1" t="s">
        <v>1</v>
      </c>
      <c r="D6" s="1" t="s">
        <v>0</v>
      </c>
      <c r="E6" s="1" t="s">
        <v>9</v>
      </c>
      <c r="F6" s="1" t="s">
        <v>10</v>
      </c>
    </row>
    <row r="7" spans="1:17" x14ac:dyDescent="0.25">
      <c r="A7" s="1" t="s">
        <v>11</v>
      </c>
      <c r="B7" s="1">
        <v>5</v>
      </c>
      <c r="C7" s="1">
        <v>4</v>
      </c>
      <c r="D7" s="1">
        <v>3</v>
      </c>
      <c r="E7" s="1">
        <v>2</v>
      </c>
      <c r="F7" s="1">
        <v>0</v>
      </c>
    </row>
    <row r="8" spans="1:17" x14ac:dyDescent="0.25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</row>
    <row r="11" spans="1:17" x14ac:dyDescent="0.25">
      <c r="A11" s="3" t="s">
        <v>41</v>
      </c>
      <c r="B11" s="3" t="s">
        <v>42</v>
      </c>
    </row>
    <row r="12" spans="1:17" x14ac:dyDescent="0.25">
      <c r="A12" s="4" t="s">
        <v>32</v>
      </c>
      <c r="B12" s="4"/>
      <c r="C12" s="4"/>
      <c r="D12" s="4"/>
    </row>
    <row r="13" spans="1:17" x14ac:dyDescent="0.25">
      <c r="A13" s="2" t="s">
        <v>35</v>
      </c>
      <c r="B13" s="2" t="s">
        <v>6</v>
      </c>
      <c r="C13" s="2" t="s">
        <v>36</v>
      </c>
      <c r="D13" s="2" t="s">
        <v>37</v>
      </c>
      <c r="E13" s="2" t="s">
        <v>38</v>
      </c>
      <c r="F13" s="6" t="s">
        <v>39</v>
      </c>
    </row>
    <row r="14" spans="1:17" x14ac:dyDescent="0.25">
      <c r="A14" s="1">
        <v>5107</v>
      </c>
      <c r="B14" s="1">
        <v>4</v>
      </c>
      <c r="C14" s="1" t="s">
        <v>22</v>
      </c>
      <c r="D14" s="1">
        <v>2.2999999999999998</v>
      </c>
      <c r="E14" s="1">
        <v>55</v>
      </c>
      <c r="F14" s="1">
        <f>B14*D14</f>
        <v>9.1999999999999993</v>
      </c>
    </row>
    <row r="15" spans="1:17" x14ac:dyDescent="0.25">
      <c r="A15" s="1">
        <v>5108</v>
      </c>
      <c r="B15" s="1">
        <v>4</v>
      </c>
      <c r="C15" s="1" t="s">
        <v>22</v>
      </c>
      <c r="D15" s="1">
        <v>2.2999999999999998</v>
      </c>
      <c r="E15" s="1">
        <v>57</v>
      </c>
      <c r="F15" s="1">
        <f t="shared" ref="F15:F20" si="0">B15*D15</f>
        <v>9.1999999999999993</v>
      </c>
    </row>
    <row r="16" spans="1:17" x14ac:dyDescent="0.25">
      <c r="A16" s="1">
        <v>5109</v>
      </c>
      <c r="B16" s="1">
        <v>3</v>
      </c>
      <c r="C16" s="1" t="s">
        <v>0</v>
      </c>
      <c r="D16" s="1">
        <v>3</v>
      </c>
      <c r="E16" s="1">
        <v>62</v>
      </c>
      <c r="F16" s="1">
        <f t="shared" si="0"/>
        <v>9</v>
      </c>
    </row>
    <row r="17" spans="1:7" x14ac:dyDescent="0.25">
      <c r="A17" s="1">
        <v>5133</v>
      </c>
      <c r="B17" s="1">
        <v>2</v>
      </c>
      <c r="C17" s="1" t="s">
        <v>0</v>
      </c>
      <c r="D17" s="1">
        <v>3</v>
      </c>
      <c r="E17" s="1">
        <v>62</v>
      </c>
      <c r="F17" s="1">
        <f t="shared" si="0"/>
        <v>6</v>
      </c>
    </row>
    <row r="18" spans="1:7" x14ac:dyDescent="0.25">
      <c r="A18" s="1">
        <v>5134</v>
      </c>
      <c r="B18" s="1">
        <v>3</v>
      </c>
      <c r="C18" s="1" t="s">
        <v>23</v>
      </c>
      <c r="D18" s="1">
        <v>1.7</v>
      </c>
      <c r="E18" s="1">
        <v>51</v>
      </c>
      <c r="F18" s="1">
        <f t="shared" si="0"/>
        <v>5.0999999999999996</v>
      </c>
    </row>
    <row r="19" spans="1:7" x14ac:dyDescent="0.25">
      <c r="A19" s="1">
        <v>5030</v>
      </c>
      <c r="B19" s="1">
        <v>2</v>
      </c>
      <c r="C19" s="1" t="s">
        <v>23</v>
      </c>
      <c r="D19" s="1">
        <v>1.7</v>
      </c>
      <c r="E19" s="1">
        <v>50</v>
      </c>
      <c r="F19" s="1">
        <f t="shared" si="0"/>
        <v>3.4</v>
      </c>
    </row>
    <row r="20" spans="1:7" x14ac:dyDescent="0.25">
      <c r="A20" s="1">
        <v>5602</v>
      </c>
      <c r="B20" s="1">
        <v>2</v>
      </c>
      <c r="C20" s="1" t="s">
        <v>0</v>
      </c>
      <c r="D20" s="1">
        <v>3</v>
      </c>
      <c r="E20" s="1">
        <v>80</v>
      </c>
      <c r="F20" s="1">
        <f t="shared" si="0"/>
        <v>6</v>
      </c>
    </row>
    <row r="21" spans="1:7" x14ac:dyDescent="0.25">
      <c r="A21" s="1" t="s">
        <v>40</v>
      </c>
      <c r="B21" s="7">
        <f>SUM(B14,B15,B16,B17,B18,B19,B20)</f>
        <v>20</v>
      </c>
      <c r="F21" s="7">
        <f>SUM(F14,F15,F16,F17,F18,F19,F20)</f>
        <v>47.9</v>
      </c>
      <c r="G21" s="1">
        <f>F21/B21</f>
        <v>2.395</v>
      </c>
    </row>
    <row r="22" spans="1:7" x14ac:dyDescent="0.25">
      <c r="B22" s="7"/>
      <c r="F22" s="7"/>
    </row>
    <row r="23" spans="1:7" x14ac:dyDescent="0.25">
      <c r="A23" s="3" t="s">
        <v>41</v>
      </c>
      <c r="B23" s="3" t="s">
        <v>43</v>
      </c>
      <c r="F23" s="7"/>
    </row>
    <row r="24" spans="1:7" s="2" customFormat="1" x14ac:dyDescent="0.25">
      <c r="A24" s="4" t="s">
        <v>8</v>
      </c>
      <c r="B24" s="4"/>
      <c r="C24" s="4"/>
      <c r="D24" s="4"/>
      <c r="E24" s="1"/>
    </row>
    <row r="25" spans="1:7" x14ac:dyDescent="0.25">
      <c r="A25" s="2" t="s">
        <v>35</v>
      </c>
      <c r="B25" s="2" t="s">
        <v>6</v>
      </c>
      <c r="C25" s="2" t="s">
        <v>36</v>
      </c>
      <c r="D25" s="2" t="s">
        <v>37</v>
      </c>
      <c r="E25" s="2" t="s">
        <v>38</v>
      </c>
      <c r="F25" s="6" t="s">
        <v>39</v>
      </c>
    </row>
    <row r="26" spans="1:7" x14ac:dyDescent="0.25">
      <c r="A26" s="1" t="s">
        <v>31</v>
      </c>
      <c r="B26" s="1">
        <v>14</v>
      </c>
      <c r="C26" s="1" t="s">
        <v>0</v>
      </c>
      <c r="D26" s="1">
        <v>3</v>
      </c>
      <c r="E26" s="1">
        <v>69</v>
      </c>
      <c r="F26" s="1">
        <f>B26*D26</f>
        <v>42</v>
      </c>
    </row>
    <row r="27" spans="1:7" x14ac:dyDescent="0.25">
      <c r="A27" s="1" t="s">
        <v>3</v>
      </c>
      <c r="B27" s="1">
        <v>2</v>
      </c>
      <c r="C27" s="1" t="s">
        <v>0</v>
      </c>
      <c r="D27" s="1">
        <v>3</v>
      </c>
      <c r="E27" s="1">
        <v>78</v>
      </c>
      <c r="F27" s="1">
        <f t="shared" ref="F27:F29" si="1">B27*D27</f>
        <v>6</v>
      </c>
    </row>
    <row r="28" spans="1:7" x14ac:dyDescent="0.25">
      <c r="A28" s="1" t="s">
        <v>4</v>
      </c>
      <c r="B28" s="1">
        <v>2</v>
      </c>
      <c r="C28" s="1" t="s">
        <v>1</v>
      </c>
      <c r="D28" s="1">
        <v>4</v>
      </c>
      <c r="E28" s="1">
        <v>82</v>
      </c>
      <c r="F28" s="1">
        <f t="shared" si="1"/>
        <v>8</v>
      </c>
    </row>
    <row r="29" spans="1:7" x14ac:dyDescent="0.25">
      <c r="A29" s="1" t="s">
        <v>5</v>
      </c>
      <c r="B29" s="1">
        <v>2</v>
      </c>
      <c r="C29" s="1" t="s">
        <v>2</v>
      </c>
      <c r="D29" s="1">
        <v>5</v>
      </c>
      <c r="E29" s="1">
        <v>90</v>
      </c>
      <c r="F29" s="1">
        <f t="shared" si="1"/>
        <v>10</v>
      </c>
    </row>
    <row r="30" spans="1:7" x14ac:dyDescent="0.25">
      <c r="A30" s="1" t="s">
        <v>40</v>
      </c>
      <c r="B30" s="7">
        <f>SUM(B26:B29)</f>
        <v>20</v>
      </c>
      <c r="F30" s="7">
        <f>SUM(F26:F29)</f>
        <v>66</v>
      </c>
      <c r="G30" s="5">
        <f>F30/B30</f>
        <v>3.3</v>
      </c>
    </row>
  </sheetData>
  <mergeCells count="2">
    <mergeCell ref="A12:D12"/>
    <mergeCell ref="A24:D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opLeftCell="A4" workbookViewId="0">
      <selection activeCell="H7" sqref="H7"/>
    </sheetView>
  </sheetViews>
  <sheetFormatPr defaultRowHeight="15" x14ac:dyDescent="0.25"/>
  <cols>
    <col min="3" max="3" width="9.140625" customWidth="1"/>
    <col min="4" max="4" width="10.42578125" customWidth="1"/>
  </cols>
  <sheetData>
    <row r="1" spans="1:17" x14ac:dyDescent="0.25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 t="s">
        <v>7</v>
      </c>
      <c r="B2" s="1" t="s">
        <v>18</v>
      </c>
      <c r="C2" s="1" t="s">
        <v>1</v>
      </c>
      <c r="D2" s="1" t="s">
        <v>19</v>
      </c>
      <c r="E2" s="1" t="s">
        <v>20</v>
      </c>
      <c r="F2" s="1" t="s">
        <v>0</v>
      </c>
      <c r="G2" s="1" t="s">
        <v>21</v>
      </c>
      <c r="H2" s="1" t="s">
        <v>22</v>
      </c>
      <c r="I2" s="1" t="s">
        <v>9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10</v>
      </c>
      <c r="O2" s="1" t="s">
        <v>27</v>
      </c>
      <c r="P2" s="1" t="s">
        <v>28</v>
      </c>
      <c r="Q2" s="1" t="s">
        <v>29</v>
      </c>
    </row>
    <row r="3" spans="1:17" x14ac:dyDescent="0.25">
      <c r="A3" s="1" t="s">
        <v>11</v>
      </c>
      <c r="B3" s="1">
        <v>4.3</v>
      </c>
      <c r="C3" s="1">
        <v>4</v>
      </c>
      <c r="D3" s="1">
        <v>3.7</v>
      </c>
      <c r="E3" s="1">
        <v>3.3</v>
      </c>
      <c r="F3" s="1">
        <v>3</v>
      </c>
      <c r="G3" s="1">
        <v>2.7</v>
      </c>
      <c r="H3" s="1">
        <v>2.2999999999999998</v>
      </c>
      <c r="I3" s="1">
        <v>2</v>
      </c>
      <c r="J3" s="1">
        <v>1.7</v>
      </c>
      <c r="K3" s="1">
        <v>1.3</v>
      </c>
      <c r="L3" s="1">
        <v>1</v>
      </c>
      <c r="M3" s="1">
        <v>0.7</v>
      </c>
      <c r="N3" s="1">
        <v>0</v>
      </c>
      <c r="O3" s="1" t="s">
        <v>30</v>
      </c>
      <c r="P3" s="1" t="s">
        <v>30</v>
      </c>
      <c r="Q3" s="1" t="s">
        <v>30</v>
      </c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 t="s">
        <v>34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 t="s">
        <v>7</v>
      </c>
      <c r="B6" s="1" t="s">
        <v>2</v>
      </c>
      <c r="C6" s="1" t="s">
        <v>1</v>
      </c>
      <c r="D6" s="1" t="s">
        <v>0</v>
      </c>
      <c r="E6" s="1" t="s">
        <v>9</v>
      </c>
      <c r="F6" s="1" t="s">
        <v>10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11</v>
      </c>
      <c r="B7" s="1">
        <v>5</v>
      </c>
      <c r="C7" s="1">
        <v>4</v>
      </c>
      <c r="D7" s="1">
        <v>3</v>
      </c>
      <c r="E7" s="1">
        <v>2</v>
      </c>
      <c r="F7" s="1"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4" t="s">
        <v>32</v>
      </c>
      <c r="B10" s="4"/>
      <c r="C10" s="4"/>
      <c r="D10" s="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2" t="s">
        <v>35</v>
      </c>
      <c r="B11" s="2" t="s">
        <v>6</v>
      </c>
      <c r="C11" s="2" t="s">
        <v>36</v>
      </c>
      <c r="D11" s="2" t="s">
        <v>37</v>
      </c>
      <c r="E11" s="2" t="s">
        <v>38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5107</v>
      </c>
      <c r="B12" s="1">
        <v>4</v>
      </c>
      <c r="C12" s="1" t="s">
        <v>22</v>
      </c>
      <c r="D12" s="1">
        <v>2.2999999999999998</v>
      </c>
      <c r="E12" s="1">
        <v>55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5108</v>
      </c>
      <c r="B13" s="1">
        <v>4</v>
      </c>
      <c r="C13" s="1" t="s">
        <v>22</v>
      </c>
      <c r="D13" s="1">
        <v>2.2999999999999998</v>
      </c>
      <c r="E13" s="1">
        <v>57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>
        <v>5109</v>
      </c>
      <c r="B14" s="1">
        <v>3</v>
      </c>
      <c r="C14" s="1" t="s">
        <v>0</v>
      </c>
      <c r="D14" s="1">
        <v>3</v>
      </c>
      <c r="E14" s="1">
        <v>62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>
        <v>5133</v>
      </c>
      <c r="B15" s="1">
        <v>2</v>
      </c>
      <c r="C15" s="1" t="s">
        <v>0</v>
      </c>
      <c r="D15" s="1">
        <v>3</v>
      </c>
      <c r="E15" s="1">
        <v>62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5134</v>
      </c>
      <c r="B16" s="1">
        <v>3</v>
      </c>
      <c r="C16" s="1" t="s">
        <v>23</v>
      </c>
      <c r="D16" s="1">
        <v>1.7</v>
      </c>
      <c r="E16" s="1">
        <v>51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>
        <v>5030</v>
      </c>
      <c r="B17" s="1">
        <v>2</v>
      </c>
      <c r="C17" s="1" t="s">
        <v>23</v>
      </c>
      <c r="D17" s="1">
        <v>1.7</v>
      </c>
      <c r="E17" s="1">
        <v>50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>
        <v>5602</v>
      </c>
      <c r="B18" s="1">
        <v>2</v>
      </c>
      <c r="C18" s="1" t="s">
        <v>0</v>
      </c>
      <c r="D18" s="1">
        <v>3</v>
      </c>
      <c r="E18" s="1">
        <v>80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4" t="s">
        <v>8</v>
      </c>
      <c r="B20" s="4"/>
      <c r="C20" s="4"/>
      <c r="D20" s="4"/>
      <c r="E20" s="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2" t="s">
        <v>35</v>
      </c>
      <c r="B21" s="2" t="s">
        <v>6</v>
      </c>
      <c r="C21" s="2" t="s">
        <v>36</v>
      </c>
      <c r="D21" s="2" t="s">
        <v>37</v>
      </c>
      <c r="E21" s="2" t="s">
        <v>38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 t="s">
        <v>31</v>
      </c>
      <c r="B22" s="1">
        <v>14</v>
      </c>
      <c r="C22" s="1" t="s">
        <v>0</v>
      </c>
      <c r="D22" s="1">
        <v>3</v>
      </c>
      <c r="E22" s="1">
        <v>69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 t="s">
        <v>3</v>
      </c>
      <c r="B23" s="1">
        <v>2</v>
      </c>
      <c r="C23" s="1" t="s">
        <v>0</v>
      </c>
      <c r="D23" s="1">
        <v>3</v>
      </c>
      <c r="E23" s="1">
        <v>78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 t="s">
        <v>4</v>
      </c>
      <c r="B24" s="1">
        <v>2</v>
      </c>
      <c r="C24" s="1" t="s">
        <v>1</v>
      </c>
      <c r="D24" s="1">
        <v>4</v>
      </c>
      <c r="E24" s="1">
        <v>82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 t="s">
        <v>5</v>
      </c>
      <c r="B25" s="1">
        <v>2</v>
      </c>
      <c r="C25" s="1" t="s">
        <v>2</v>
      </c>
      <c r="D25" s="1">
        <v>5</v>
      </c>
      <c r="E25" s="1">
        <v>90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</sheetData>
  <mergeCells count="2">
    <mergeCell ref="A10:D10"/>
    <mergeCell ref="A20:D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>
      <selection activeCell="H6" sqref="H6"/>
    </sheetView>
  </sheetViews>
  <sheetFormatPr defaultRowHeight="15" x14ac:dyDescent="0.25"/>
  <cols>
    <col min="1" max="1" width="13.85546875" bestFit="1" customWidth="1"/>
  </cols>
  <sheetData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3073" r:id="rId3">
          <objectPr defaultSize="0" r:id="rId4">
            <anchor moveWithCells="1">
              <from>
                <xdr:col>0</xdr:col>
                <xdr:colOff>142875</xdr:colOff>
                <xdr:row>3</xdr:row>
                <xdr:rowOff>114300</xdr:rowOff>
              </from>
              <to>
                <xdr:col>4</xdr:col>
                <xdr:colOff>419100</xdr:colOff>
                <xdr:row>10</xdr:row>
                <xdr:rowOff>133350</xdr:rowOff>
              </to>
            </anchor>
          </objectPr>
        </oleObject>
      </mc:Choice>
      <mc:Fallback>
        <oleObject progId="StaticDib" shapeId="3073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CGPA-SGPA</vt:lpstr>
      <vt:lpstr>Transcript</vt:lpstr>
      <vt:lpstr>CFP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</dc:creator>
  <cp:lastModifiedBy>Windows User</cp:lastModifiedBy>
  <dcterms:created xsi:type="dcterms:W3CDTF">2015-06-05T18:17:20Z</dcterms:created>
  <dcterms:modified xsi:type="dcterms:W3CDTF">2022-09-12T07:30:28Z</dcterms:modified>
</cp:coreProperties>
</file>