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pana.acharya\Downloads\"/>
    </mc:Choice>
  </mc:AlternateContent>
  <xr:revisionPtr revIDLastSave="0" documentId="13_ncr:1_{9BC623F4-9A27-426B-B7EE-C58603F804E1}" xr6:coauthVersionLast="47" xr6:coauthVersionMax="47" xr10:uidLastSave="{00000000-0000-0000-0000-000000000000}"/>
  <bookViews>
    <workbookView xWindow="-120" yWindow="-120" windowWidth="20730" windowHeight="11160" activeTab="1" xr2:uid="{2DF2E7E7-0C4F-EE44-977D-D11D600FFAF9}"/>
  </bookViews>
  <sheets>
    <sheet name="1. Elective" sheetId="1" r:id="rId1"/>
    <sheet name="2. Mandatory" sheetId="3" r:id="rId2"/>
    <sheet name="Sheet2" sheetId="2" state="hidden" r:id="rId3"/>
  </sheets>
  <definedNames>
    <definedName name="_xlnm.Print_Area" localSheetId="0">'1. Elective'!$A$1:$D$70</definedName>
    <definedName name="_xlnm.Print_Area" localSheetId="1">'2. Mandatory'!$A$1:$D$70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1" l="1"/>
  <c r="C59" i="1"/>
  <c r="C52" i="1"/>
  <c r="C13" i="1"/>
  <c r="C25" i="1"/>
  <c r="C26" i="1" s="1"/>
  <c r="C79" i="3"/>
  <c r="C78" i="3"/>
  <c r="C61" i="3"/>
  <c r="C58" i="3"/>
  <c r="C47" i="3" s="1"/>
  <c r="C52" i="3"/>
  <c r="C44" i="3"/>
  <c r="C43" i="3"/>
  <c r="C42" i="3"/>
  <c r="C41" i="3" s="1"/>
  <c r="C17" i="3" s="1"/>
  <c r="F29" i="3"/>
  <c r="C25" i="3"/>
  <c r="C13" i="3"/>
  <c r="C14" i="3" s="1"/>
  <c r="C10" i="3"/>
  <c r="C47" i="1" l="1"/>
  <c r="C26" i="3"/>
  <c r="C27" i="3" s="1"/>
  <c r="C28" i="3" s="1"/>
  <c r="C35" i="3" s="1"/>
  <c r="C15" i="3"/>
  <c r="C16" i="3" s="1"/>
  <c r="C18" i="3" l="1"/>
  <c r="C20" i="3"/>
  <c r="G4" i="2" l="1"/>
  <c r="G5" i="2"/>
  <c r="G6" i="2"/>
  <c r="G3" i="2"/>
  <c r="H4" i="2"/>
  <c r="H5" i="2"/>
  <c r="H6" i="2"/>
  <c r="H3" i="2"/>
  <c r="F4" i="2"/>
  <c r="F5" i="2"/>
  <c r="F6" i="2"/>
  <c r="F3" i="2"/>
  <c r="C79" i="1" l="1"/>
  <c r="F29" i="1"/>
  <c r="C42" i="1"/>
  <c r="C10" i="1"/>
  <c r="C78" i="1"/>
  <c r="C14" i="1" s="1"/>
  <c r="C61" i="1"/>
  <c r="C44" i="1"/>
  <c r="C15" i="1" l="1"/>
  <c r="C16" i="1" s="1"/>
  <c r="C43" i="1" l="1"/>
  <c r="C41" i="1" s="1"/>
  <c r="C17" i="1" l="1"/>
  <c r="C18" i="1" l="1"/>
  <c r="C20" i="1"/>
  <c r="C27" i="1"/>
  <c r="C28" i="1"/>
  <c r="C35" i="1"/>
</calcChain>
</file>

<file path=xl/sharedStrings.xml><?xml version="1.0" encoding="utf-8"?>
<sst xmlns="http://schemas.openxmlformats.org/spreadsheetml/2006/main" count="247" uniqueCount="110">
  <si>
    <t>Course Credits:</t>
  </si>
  <si>
    <t>Type of Course:</t>
  </si>
  <si>
    <t>On Campus</t>
  </si>
  <si>
    <t>Travel in India</t>
  </si>
  <si>
    <t>Contact Hours per Tutor</t>
  </si>
  <si>
    <t>Total Hours per Tutor</t>
  </si>
  <si>
    <t>Number of Tutors</t>
  </si>
  <si>
    <t>One tutor</t>
  </si>
  <si>
    <t>Two tutors</t>
  </si>
  <si>
    <t xml:space="preserve">Per Credit Contact Hours: </t>
  </si>
  <si>
    <t xml:space="preserve">Course Type: </t>
  </si>
  <si>
    <t>Elective</t>
  </si>
  <si>
    <t>Mandatory</t>
  </si>
  <si>
    <t>Rate for Tutor 1</t>
  </si>
  <si>
    <t>Rate for Tutor 2</t>
  </si>
  <si>
    <t>TA Hours (if applicable)</t>
  </si>
  <si>
    <t>TA Rate</t>
  </si>
  <si>
    <t>Total Tutor Hours (All Tutors)</t>
  </si>
  <si>
    <t>Payment to Tutor 1</t>
  </si>
  <si>
    <t>Payment to Tutor 2</t>
  </si>
  <si>
    <t>Payment to TA</t>
  </si>
  <si>
    <t>Travel Expenses</t>
  </si>
  <si>
    <t>Number of Days Stay</t>
  </si>
  <si>
    <t>Manpower Cost</t>
  </si>
  <si>
    <t>Any other Costs</t>
  </si>
  <si>
    <t>EXPENSE CALCULATIONS</t>
  </si>
  <si>
    <t>A</t>
  </si>
  <si>
    <t>B</t>
  </si>
  <si>
    <t>C</t>
  </si>
  <si>
    <t xml:space="preserve">Student fee per credit </t>
  </si>
  <si>
    <t>Total Expenses</t>
  </si>
  <si>
    <t>Total Expected Fees</t>
  </si>
  <si>
    <t>Yes</t>
  </si>
  <si>
    <t>No</t>
  </si>
  <si>
    <t>Approval by Provost</t>
  </si>
  <si>
    <t>Budget Approval</t>
  </si>
  <si>
    <t>University Component</t>
  </si>
  <si>
    <t>Faculty Component</t>
  </si>
  <si>
    <t>Surplus/Deficit</t>
  </si>
  <si>
    <t>Decided Min  Students</t>
  </si>
  <si>
    <t>PARAMETERS</t>
  </si>
  <si>
    <t>D</t>
  </si>
  <si>
    <t>Accomodation Per Day Rate</t>
  </si>
  <si>
    <t xml:space="preserve">Course Level: </t>
  </si>
  <si>
    <t>UG</t>
  </si>
  <si>
    <t>PG</t>
  </si>
  <si>
    <t>Course Credits</t>
  </si>
  <si>
    <t>Cells in Yellow can be edited</t>
  </si>
  <si>
    <t>Online</t>
  </si>
  <si>
    <t>Total Hours for Tutor 1</t>
  </si>
  <si>
    <t>Total Hours for Tutor 2</t>
  </si>
  <si>
    <t>Total Per Diem</t>
  </si>
  <si>
    <t>Travel Tickets (Total)</t>
  </si>
  <si>
    <t>Local Travel (Total)</t>
  </si>
  <si>
    <t>Accomodation / Stay (Total)</t>
  </si>
  <si>
    <t xml:space="preserve">Per Credit Other Hours: </t>
  </si>
  <si>
    <t>Payment for any other resource</t>
  </si>
  <si>
    <t>All amounts in INR only</t>
  </si>
  <si>
    <t>Particulars</t>
  </si>
  <si>
    <t>Enter Options / Data</t>
  </si>
  <si>
    <t>Comments</t>
  </si>
  <si>
    <t>Enter Name of Tutor</t>
  </si>
  <si>
    <t>Enter Experience of Tutor as per CV</t>
  </si>
  <si>
    <t>Enter details of type of resource: Special Lecture, Reviewer, etc</t>
  </si>
  <si>
    <t>Any specifics of Local Travel</t>
  </si>
  <si>
    <t>Comments if any</t>
  </si>
  <si>
    <t>As per CEPT University Policies</t>
  </si>
  <si>
    <t>Air travel or Train or Road, Destination To and From (including Visa)</t>
  </si>
  <si>
    <t>TA is usually not compensated for Travel, Stay and Per Diem for Summer &amp; Winter Courses</t>
  </si>
  <si>
    <t>Travel International / International VF Travelling to India</t>
  </si>
  <si>
    <t>Additional Hours for the Course</t>
  </si>
  <si>
    <t>CR</t>
  </si>
  <si>
    <t>Tutors</t>
  </si>
  <si>
    <t>Oncampus</t>
  </si>
  <si>
    <t>Outside India</t>
  </si>
  <si>
    <t>Type</t>
  </si>
  <si>
    <t>Students:</t>
  </si>
  <si>
    <t>Contact Hrs</t>
  </si>
  <si>
    <t>Addl Hrs</t>
  </si>
  <si>
    <t>Total Hours</t>
  </si>
  <si>
    <t>Hrs per tutor</t>
  </si>
  <si>
    <t>Submitted By (Lead Tutor)</t>
  </si>
  <si>
    <t>Course Title</t>
  </si>
  <si>
    <t>CHECK TOTAL OF ALL TUTORS</t>
  </si>
  <si>
    <t>Enter Experience of TA as per portal</t>
  </si>
  <si>
    <t>Enter Name of the TA</t>
  </si>
  <si>
    <t>Min Students Per Elective Course as per Policy</t>
  </si>
  <si>
    <t>Min. Students (approximate):</t>
  </si>
  <si>
    <t>As per CEPT University Policy for Summer / Winter Courses</t>
  </si>
  <si>
    <t>Suggested Min Students Per Elective Course</t>
  </si>
  <si>
    <t>Min. Students (suggested):</t>
  </si>
  <si>
    <t>Per Diem total amount of Tutor 1 as applicable</t>
  </si>
  <si>
    <t>Per Diem total amount of Tutor 2 as applicable</t>
  </si>
  <si>
    <t>Travel Tickets (Tutor 1)</t>
  </si>
  <si>
    <t>Travel Tickets (Tutor 2)</t>
  </si>
  <si>
    <t>Local Travel (Tutor 1)</t>
  </si>
  <si>
    <t>Local Travel (Tutor 2)</t>
  </si>
  <si>
    <t>Accomodation Per Day Rate Tutor 1</t>
  </si>
  <si>
    <t>Accomodation Per Day Rate Tutor 2</t>
  </si>
  <si>
    <t>Number of Days Stay - Tutor 1</t>
  </si>
  <si>
    <t>Number of Days Stay - Tutor 2</t>
  </si>
  <si>
    <t xml:space="preserve">Per Diem - Tutor 1 </t>
  </si>
  <si>
    <t>Per Diem - Tutor 2</t>
  </si>
  <si>
    <t>Accomodation rate for Tutor 1 as applicable</t>
  </si>
  <si>
    <t>Enter Experience of Tutor 1</t>
  </si>
  <si>
    <t>Enter Experience of Tutor 2</t>
  </si>
  <si>
    <t>Enter Name of Tutor 1</t>
  </si>
  <si>
    <t>Enter Name of Tutor 2</t>
  </si>
  <si>
    <t>BUDGET PLANNING TEMPLATE (For Mandatory Course)</t>
  </si>
  <si>
    <t>BUDGET PLANNING TEMPLATE (For Elective Course)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</si>
</sst>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2" borderId="0" xfId="0" applyFill="1" applyAlignment="1" applyProtection="1">
      <alignment vertical="top"/>
      <protection locked="0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2" borderId="0" xfId="0" applyFont="1" applyFill="1" applyAlignment="1" applyProtection="1">
      <alignment horizontal="right" vertical="top"/>
      <protection locked="0"/>
    </xf>
    <xf numFmtId="0" fontId="4" fillId="2" borderId="0" xfId="0" applyFont="1" applyFill="1" applyAlignment="1" applyProtection="1">
      <alignment vertical="top"/>
      <protection locked="0"/>
    </xf>
    <xf numFmtId="38" fontId="5" fillId="0" borderId="0" xfId="1" applyNumberFormat="1" applyFont="1" applyAlignment="1" applyProtection="1">
      <alignment horizontal="right" vertical="top"/>
    </xf>
    <xf numFmtId="165" fontId="4" fillId="0" borderId="0" xfId="1" applyNumberFormat="1" applyFont="1" applyAlignment="1" applyProtection="1">
      <alignment horizontal="right" vertical="top"/>
    </xf>
    <xf numFmtId="165" fontId="4" fillId="2" borderId="0" xfId="1" applyNumberFormat="1" applyFont="1" applyFill="1" applyAlignment="1" applyProtection="1">
      <alignment horizontal="right" vertical="top"/>
      <protection locked="0"/>
    </xf>
    <xf numFmtId="0" fontId="4" fillId="2" borderId="0" xfId="0" applyFont="1" applyFill="1" applyAlignment="1" applyProtection="1">
      <alignment horizontal="right" vertical="top" wrapText="1"/>
      <protection locked="0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165" fontId="6" fillId="0" borderId="0" xfId="0" applyNumberFormat="1" applyFont="1" applyAlignment="1">
      <alignment horizontal="right" vertical="top"/>
    </xf>
    <xf numFmtId="0" fontId="4" fillId="0" borderId="1" xfId="0" applyFont="1" applyBorder="1" applyAlignment="1">
      <alignment vertical="top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/>
    </xf>
    <xf numFmtId="165" fontId="4" fillId="0" borderId="0" xfId="1" applyNumberFormat="1" applyFont="1" applyAlignment="1" applyProtection="1">
      <alignment vertical="top"/>
    </xf>
    <xf numFmtId="165" fontId="4" fillId="0" borderId="0" xfId="0" applyNumberFormat="1" applyFont="1" applyAlignment="1">
      <alignment vertical="top"/>
    </xf>
    <xf numFmtId="165" fontId="4" fillId="0" borderId="0" xfId="1" applyNumberFormat="1" applyFont="1" applyAlignment="1" applyProtection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5" fillId="2" borderId="0" xfId="0" applyFont="1" applyFill="1" applyAlignment="1" applyProtection="1">
      <alignment horizontal="center" vertical="top" wrapText="1"/>
      <protection locked="0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2" borderId="0" xfId="0" applyFont="1" applyFill="1" applyAlignment="1" applyProtection="1">
      <alignment horizontal="center" vertical="top" wrapTex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30B2-DF90-994B-9F6A-0B0C7CB8D496}">
  <dimension ref="A1:I89"/>
  <sheetViews>
    <sheetView view="pageBreakPreview" zoomScale="55" zoomScaleNormal="125" zoomScaleSheetLayoutView="55" workbookViewId="0">
      <selection activeCell="A13" sqref="A13:XFD19"/>
    </sheetView>
  </sheetViews>
  <sheetFormatPr defaultColWidth="10.875" defaultRowHeight="15" x14ac:dyDescent="0.25"/>
  <cols>
    <col min="1" max="1" width="4.5" style="12" customWidth="1"/>
    <col min="2" max="2" width="31" style="17" customWidth="1"/>
    <col min="3" max="3" width="20.375" style="12" customWidth="1"/>
    <col min="4" max="4" width="55.5" style="17" customWidth="1"/>
    <col min="5" max="5" width="6" style="17" customWidth="1"/>
    <col min="6" max="6" width="21.625" style="20" customWidth="1"/>
    <col min="7" max="7" width="12" style="17" bestFit="1" customWidth="1"/>
    <col min="8" max="16384" width="10.875" style="17"/>
  </cols>
  <sheetData>
    <row r="1" spans="1:9" s="15" customFormat="1" ht="18.75" x14ac:dyDescent="0.25">
      <c r="A1" s="13"/>
      <c r="B1" s="14" t="s">
        <v>109</v>
      </c>
      <c r="C1" s="13"/>
    </row>
    <row r="2" spans="1:9" x14ac:dyDescent="0.25">
      <c r="B2" s="16" t="s">
        <v>81</v>
      </c>
      <c r="C2" s="39"/>
      <c r="D2" s="39"/>
      <c r="F2" s="18"/>
    </row>
    <row r="3" spans="1:9" x14ac:dyDescent="0.25">
      <c r="B3" s="16" t="s">
        <v>82</v>
      </c>
      <c r="C3" s="39"/>
      <c r="D3" s="39"/>
      <c r="F3" s="18"/>
    </row>
    <row r="4" spans="1:9" x14ac:dyDescent="0.25">
      <c r="B4" s="16"/>
      <c r="F4" s="40" t="s">
        <v>88</v>
      </c>
      <c r="G4" s="40"/>
      <c r="H4" s="40"/>
    </row>
    <row r="5" spans="1:9" x14ac:dyDescent="0.25">
      <c r="A5" s="19" t="s">
        <v>33</v>
      </c>
      <c r="B5" s="16" t="s">
        <v>58</v>
      </c>
      <c r="C5" s="19" t="s">
        <v>59</v>
      </c>
      <c r="D5" s="16" t="s">
        <v>60</v>
      </c>
      <c r="G5" s="12" t="s">
        <v>11</v>
      </c>
      <c r="H5" s="12" t="s">
        <v>12</v>
      </c>
    </row>
    <row r="6" spans="1:9" ht="20.100000000000001" customHeight="1" x14ac:dyDescent="0.25">
      <c r="A6" s="12">
        <v>1</v>
      </c>
      <c r="B6" s="17" t="s">
        <v>10</v>
      </c>
      <c r="C6" s="12" t="s">
        <v>11</v>
      </c>
      <c r="D6" s="7" t="s">
        <v>65</v>
      </c>
      <c r="F6" s="20" t="s">
        <v>9</v>
      </c>
      <c r="G6" s="17">
        <v>12</v>
      </c>
      <c r="H6" s="17">
        <v>12</v>
      </c>
    </row>
    <row r="7" spans="1:9" x14ac:dyDescent="0.25">
      <c r="A7" s="12">
        <v>2</v>
      </c>
      <c r="B7" s="17" t="s">
        <v>43</v>
      </c>
      <c r="C7" s="6" t="s">
        <v>44</v>
      </c>
      <c r="D7" s="7" t="s">
        <v>65</v>
      </c>
      <c r="F7" s="20" t="s">
        <v>55</v>
      </c>
      <c r="G7" s="17">
        <v>12</v>
      </c>
      <c r="H7" s="17">
        <v>36</v>
      </c>
    </row>
    <row r="8" spans="1:9" x14ac:dyDescent="0.25">
      <c r="A8" s="12">
        <v>3</v>
      </c>
      <c r="B8" s="17" t="s">
        <v>0</v>
      </c>
      <c r="C8" s="6">
        <v>2</v>
      </c>
      <c r="D8" s="7" t="s">
        <v>65</v>
      </c>
    </row>
    <row r="9" spans="1:9" x14ac:dyDescent="0.25">
      <c r="A9" s="12">
        <v>4</v>
      </c>
      <c r="B9" s="17" t="s">
        <v>1</v>
      </c>
      <c r="C9" s="11" t="s">
        <v>2</v>
      </c>
      <c r="D9" s="7" t="s">
        <v>65</v>
      </c>
      <c r="F9" s="17"/>
    </row>
    <row r="10" spans="1:9" x14ac:dyDescent="0.25">
      <c r="A10" s="17">
        <v>5</v>
      </c>
      <c r="B10" s="17" t="s">
        <v>90</v>
      </c>
      <c r="C10" s="12">
        <f>IF(C23=F19,INDEX(G20:I23,MATCH(C9,F20:F23),MATCH(C8,G19:I19)),INDEX(G26:I29,MATCH(C9,F26:F29),MATCH(C8,G19:I19)))</f>
        <v>10</v>
      </c>
    </row>
    <row r="12" spans="1:9" x14ac:dyDescent="0.25">
      <c r="A12" s="12">
        <v>6</v>
      </c>
      <c r="B12" s="17" t="s">
        <v>39</v>
      </c>
      <c r="C12" s="6">
        <v>10</v>
      </c>
      <c r="D12" s="7" t="s">
        <v>65</v>
      </c>
    </row>
    <row r="13" spans="1:9" x14ac:dyDescent="0.25">
      <c r="A13" s="12">
        <v>7</v>
      </c>
      <c r="B13" s="17" t="s">
        <v>29</v>
      </c>
      <c r="C13" s="23">
        <f>VLOOKUP(C7,B78:C79,2,FALSE)</f>
        <v>8000</v>
      </c>
      <c r="F13" s="41" t="s">
        <v>89</v>
      </c>
      <c r="G13" s="41"/>
      <c r="H13" s="41"/>
      <c r="I13" s="41"/>
    </row>
    <row r="14" spans="1:9" hidden="1" x14ac:dyDescent="0.25">
      <c r="A14" s="12">
        <v>8</v>
      </c>
      <c r="B14" s="16" t="s">
        <v>31</v>
      </c>
      <c r="C14" s="24">
        <f>C12*C13*C8</f>
        <v>160000</v>
      </c>
    </row>
    <row r="15" spans="1:9" hidden="1" x14ac:dyDescent="0.25">
      <c r="A15" s="12">
        <v>9</v>
      </c>
      <c r="B15" s="12" t="s">
        <v>36</v>
      </c>
      <c r="C15" s="23">
        <f>0.5*C14</f>
        <v>80000</v>
      </c>
    </row>
    <row r="16" spans="1:9" hidden="1" x14ac:dyDescent="0.25">
      <c r="A16" s="12">
        <v>10</v>
      </c>
      <c r="B16" s="12" t="s">
        <v>37</v>
      </c>
      <c r="C16" s="23">
        <f>C14-C15</f>
        <v>80000</v>
      </c>
    </row>
    <row r="17" spans="1:9" hidden="1" x14ac:dyDescent="0.25">
      <c r="A17" s="12">
        <v>11</v>
      </c>
      <c r="B17" s="16" t="s">
        <v>30</v>
      </c>
      <c r="C17" s="24">
        <f>C41+C47+C61</f>
        <v>48000</v>
      </c>
    </row>
    <row r="18" spans="1:9" hidden="1" x14ac:dyDescent="0.25">
      <c r="A18" s="17">
        <v>12</v>
      </c>
      <c r="B18" s="16" t="s">
        <v>38</v>
      </c>
      <c r="C18" s="8" t="str">
        <f>IF(C16-C17&gt;0,"Surplus",IF(C16-C17=0,"Break Even","Deficit"))</f>
        <v>Surplus</v>
      </c>
      <c r="G18" s="38" t="s">
        <v>46</v>
      </c>
      <c r="H18" s="38"/>
      <c r="I18" s="38"/>
    </row>
    <row r="19" spans="1:9" x14ac:dyDescent="0.25">
      <c r="C19" s="23"/>
      <c r="F19" s="25" t="s">
        <v>7</v>
      </c>
      <c r="G19" s="26">
        <v>2</v>
      </c>
      <c r="H19" s="26">
        <v>4</v>
      </c>
      <c r="I19" s="26">
        <v>6</v>
      </c>
    </row>
    <row r="20" spans="1:9" x14ac:dyDescent="0.25">
      <c r="B20" s="27" t="s">
        <v>35</v>
      </c>
      <c r="C20" s="28" t="str">
        <f>IF(C17/C16&lt;=1,"Yes",IF(C17/C16&lt;=1.2,"Special Approval","No"))</f>
        <v>Yes</v>
      </c>
      <c r="F20" s="20" t="s">
        <v>48</v>
      </c>
      <c r="G20" s="17">
        <v>10</v>
      </c>
      <c r="H20" s="17">
        <v>10</v>
      </c>
      <c r="I20" s="17">
        <v>10</v>
      </c>
    </row>
    <row r="21" spans="1:9" x14ac:dyDescent="0.25">
      <c r="C21" s="23"/>
      <c r="F21" s="20" t="s">
        <v>2</v>
      </c>
      <c r="G21" s="17">
        <v>10</v>
      </c>
      <c r="H21" s="17">
        <v>10</v>
      </c>
      <c r="I21" s="17">
        <v>10</v>
      </c>
    </row>
    <row r="22" spans="1:9" x14ac:dyDescent="0.25">
      <c r="A22" s="19" t="s">
        <v>26</v>
      </c>
      <c r="B22" s="16" t="s">
        <v>40</v>
      </c>
      <c r="F22" s="20" t="s">
        <v>3</v>
      </c>
      <c r="G22" s="17">
        <v>15</v>
      </c>
      <c r="H22" s="17">
        <v>13</v>
      </c>
      <c r="I22" s="17">
        <v>11</v>
      </c>
    </row>
    <row r="23" spans="1:9" ht="45" x14ac:dyDescent="0.25">
      <c r="A23" s="12">
        <v>1</v>
      </c>
      <c r="B23" s="17" t="s">
        <v>6</v>
      </c>
      <c r="C23" s="6" t="s">
        <v>7</v>
      </c>
      <c r="F23" s="20" t="s">
        <v>69</v>
      </c>
      <c r="G23" s="17">
        <v>24</v>
      </c>
      <c r="H23" s="17">
        <v>20</v>
      </c>
      <c r="I23" s="17">
        <v>16</v>
      </c>
    </row>
    <row r="24" spans="1:9" x14ac:dyDescent="0.25">
      <c r="A24" s="17"/>
    </row>
    <row r="25" spans="1:9" x14ac:dyDescent="0.25">
      <c r="A25" s="12">
        <v>2</v>
      </c>
      <c r="B25" s="17" t="s">
        <v>4</v>
      </c>
      <c r="C25" s="12">
        <f>C8*IF(C6=G5,G6,"Error")</f>
        <v>24</v>
      </c>
      <c r="F25" s="25" t="s">
        <v>8</v>
      </c>
      <c r="G25" s="29"/>
      <c r="H25" s="29"/>
      <c r="I25" s="29"/>
    </row>
    <row r="26" spans="1:9" x14ac:dyDescent="0.25">
      <c r="A26" s="12">
        <v>3</v>
      </c>
      <c r="B26" s="17" t="s">
        <v>70</v>
      </c>
      <c r="C26" s="12">
        <f>C25*IF(C6=G5,1,"Error")</f>
        <v>24</v>
      </c>
      <c r="F26" s="20" t="s">
        <v>48</v>
      </c>
      <c r="G26" s="17">
        <v>10</v>
      </c>
      <c r="H26" s="17">
        <v>10</v>
      </c>
      <c r="I26" s="17">
        <v>10</v>
      </c>
    </row>
    <row r="27" spans="1:9" x14ac:dyDescent="0.25">
      <c r="A27" s="12">
        <v>4</v>
      </c>
      <c r="B27" s="17" t="s">
        <v>5</v>
      </c>
      <c r="C27" s="12">
        <f>IF(C23=F19,C25+C26,C28/2)</f>
        <v>48</v>
      </c>
      <c r="F27" s="20" t="s">
        <v>2</v>
      </c>
      <c r="G27" s="17">
        <v>10</v>
      </c>
      <c r="H27" s="17">
        <v>10</v>
      </c>
      <c r="I27" s="17">
        <v>10</v>
      </c>
    </row>
    <row r="28" spans="1:9" x14ac:dyDescent="0.25">
      <c r="A28" s="12">
        <v>5</v>
      </c>
      <c r="B28" s="17" t="s">
        <v>17</v>
      </c>
      <c r="C28" s="12">
        <f>IF(C23=F19,C27,IF(C23=F25,(C25*2)+C26,"error"))</f>
        <v>48</v>
      </c>
      <c r="F28" s="20" t="s">
        <v>3</v>
      </c>
      <c r="G28" s="17">
        <v>26</v>
      </c>
      <c r="H28" s="17">
        <v>24</v>
      </c>
      <c r="I28" s="17">
        <v>21</v>
      </c>
    </row>
    <row r="29" spans="1:9" ht="45" x14ac:dyDescent="0.25">
      <c r="F29" s="20" t="str">
        <f>F23</f>
        <v>Travel International / International VF Travelling to India</v>
      </c>
      <c r="G29" s="17">
        <v>45</v>
      </c>
      <c r="H29" s="17">
        <v>37</v>
      </c>
      <c r="I29" s="17">
        <v>29</v>
      </c>
    </row>
    <row r="30" spans="1:9" x14ac:dyDescent="0.25">
      <c r="A30" s="12">
        <v>6</v>
      </c>
      <c r="B30" s="17" t="s">
        <v>13</v>
      </c>
      <c r="C30" s="6">
        <v>1000</v>
      </c>
      <c r="D30" s="7" t="s">
        <v>62</v>
      </c>
    </row>
    <row r="31" spans="1:9" x14ac:dyDescent="0.25">
      <c r="B31" s="17" t="s">
        <v>49</v>
      </c>
      <c r="C31" s="6">
        <v>48</v>
      </c>
      <c r="D31" s="7" t="s">
        <v>61</v>
      </c>
    </row>
    <row r="32" spans="1:9" x14ac:dyDescent="0.25">
      <c r="C32" s="17"/>
    </row>
    <row r="33" spans="1:4" x14ac:dyDescent="0.25">
      <c r="A33" s="12">
        <v>7</v>
      </c>
      <c r="B33" s="17" t="s">
        <v>14</v>
      </c>
      <c r="C33" s="6">
        <v>1000</v>
      </c>
      <c r="D33" s="7" t="s">
        <v>62</v>
      </c>
    </row>
    <row r="34" spans="1:4" x14ac:dyDescent="0.25">
      <c r="B34" s="17" t="s">
        <v>50</v>
      </c>
      <c r="C34" s="6">
        <v>0</v>
      </c>
      <c r="D34" s="7" t="s">
        <v>61</v>
      </c>
    </row>
    <row r="35" spans="1:4" x14ac:dyDescent="0.25">
      <c r="B35" s="17" t="s">
        <v>83</v>
      </c>
      <c r="C35" s="30" t="str">
        <f>IF(C31+C34=C28,"OK","Check Total")</f>
        <v>OK</v>
      </c>
      <c r="D35" s="31"/>
    </row>
    <row r="37" spans="1:4" x14ac:dyDescent="0.25">
      <c r="A37" s="12">
        <v>8</v>
      </c>
      <c r="B37" s="17" t="s">
        <v>15</v>
      </c>
      <c r="C37" s="6"/>
      <c r="D37" s="7" t="s">
        <v>85</v>
      </c>
    </row>
    <row r="38" spans="1:4" x14ac:dyDescent="0.25">
      <c r="A38" s="12">
        <v>9</v>
      </c>
      <c r="B38" s="17" t="s">
        <v>16</v>
      </c>
      <c r="C38" s="6"/>
      <c r="D38" s="7" t="s">
        <v>84</v>
      </c>
    </row>
    <row r="40" spans="1:4" x14ac:dyDescent="0.25">
      <c r="A40" s="19" t="s">
        <v>27</v>
      </c>
      <c r="B40" s="16" t="s">
        <v>25</v>
      </c>
    </row>
    <row r="41" spans="1:4" x14ac:dyDescent="0.25">
      <c r="A41" s="12">
        <v>1</v>
      </c>
      <c r="B41" s="16" t="s">
        <v>23</v>
      </c>
      <c r="C41" s="24">
        <f>SUM(C42:C45)</f>
        <v>48000</v>
      </c>
    </row>
    <row r="42" spans="1:4" x14ac:dyDescent="0.25">
      <c r="A42" s="12">
        <v>2</v>
      </c>
      <c r="B42" s="17" t="s">
        <v>18</v>
      </c>
      <c r="C42" s="9">
        <f>C30*C31</f>
        <v>48000</v>
      </c>
    </row>
    <row r="43" spans="1:4" x14ac:dyDescent="0.25">
      <c r="A43" s="12">
        <v>3</v>
      </c>
      <c r="B43" s="17" t="s">
        <v>19</v>
      </c>
      <c r="C43" s="9">
        <f>IF(C23="One tutor",0,C33*C34)</f>
        <v>0</v>
      </c>
    </row>
    <row r="44" spans="1:4" x14ac:dyDescent="0.25">
      <c r="A44" s="12">
        <v>4</v>
      </c>
      <c r="B44" s="17" t="s">
        <v>20</v>
      </c>
      <c r="C44" s="9">
        <f>C38*C37</f>
        <v>0</v>
      </c>
    </row>
    <row r="45" spans="1:4" x14ac:dyDescent="0.25">
      <c r="A45" s="12">
        <v>5</v>
      </c>
      <c r="B45" s="17" t="s">
        <v>56</v>
      </c>
      <c r="C45" s="10"/>
      <c r="D45" s="7" t="s">
        <v>63</v>
      </c>
    </row>
    <row r="47" spans="1:4" x14ac:dyDescent="0.25">
      <c r="A47" s="19" t="s">
        <v>28</v>
      </c>
      <c r="B47" s="16" t="s">
        <v>21</v>
      </c>
      <c r="C47" s="23">
        <f>SUM(C48:C52)+C58+C59</f>
        <v>0</v>
      </c>
    </row>
    <row r="48" spans="1:4" x14ac:dyDescent="0.25">
      <c r="A48" s="12">
        <v>1</v>
      </c>
      <c r="B48" s="17" t="s">
        <v>93</v>
      </c>
      <c r="C48" s="10"/>
      <c r="D48" s="7" t="s">
        <v>67</v>
      </c>
    </row>
    <row r="49" spans="1:4" x14ac:dyDescent="0.25">
      <c r="B49" s="17" t="s">
        <v>94</v>
      </c>
      <c r="C49" s="10"/>
      <c r="D49" s="7"/>
    </row>
    <row r="50" spans="1:4" x14ac:dyDescent="0.25">
      <c r="A50" s="12">
        <v>2</v>
      </c>
      <c r="B50" s="17" t="s">
        <v>95</v>
      </c>
      <c r="C50" s="10"/>
      <c r="D50" s="7" t="s">
        <v>64</v>
      </c>
    </row>
    <row r="51" spans="1:4" x14ac:dyDescent="0.25">
      <c r="B51" s="17" t="s">
        <v>96</v>
      </c>
      <c r="C51" s="10"/>
      <c r="D51" s="7"/>
    </row>
    <row r="52" spans="1:4" x14ac:dyDescent="0.25">
      <c r="A52" s="12">
        <v>3</v>
      </c>
      <c r="B52" s="17" t="s">
        <v>54</v>
      </c>
      <c r="C52" s="9">
        <f>C54*C56+C55*C57</f>
        <v>0</v>
      </c>
    </row>
    <row r="53" spans="1:4" x14ac:dyDescent="0.25">
      <c r="C53" s="9"/>
    </row>
    <row r="54" spans="1:4" x14ac:dyDescent="0.25">
      <c r="A54" s="12">
        <v>4</v>
      </c>
      <c r="B54" s="17" t="s">
        <v>97</v>
      </c>
      <c r="C54" s="10"/>
      <c r="D54" s="7" t="s">
        <v>103</v>
      </c>
    </row>
    <row r="55" spans="1:4" x14ac:dyDescent="0.25">
      <c r="B55" s="17" t="s">
        <v>98</v>
      </c>
      <c r="C55" s="10"/>
      <c r="D55" s="7" t="s">
        <v>103</v>
      </c>
    </row>
    <row r="56" spans="1:4" x14ac:dyDescent="0.25">
      <c r="A56" s="12">
        <v>5</v>
      </c>
      <c r="B56" s="17" t="s">
        <v>99</v>
      </c>
      <c r="C56" s="10"/>
      <c r="D56" s="7"/>
    </row>
    <row r="57" spans="1:4" x14ac:dyDescent="0.25">
      <c r="B57" s="17" t="s">
        <v>100</v>
      </c>
      <c r="C57" s="10"/>
      <c r="D57" s="7"/>
    </row>
    <row r="58" spans="1:4" x14ac:dyDescent="0.25">
      <c r="A58" s="12">
        <v>6</v>
      </c>
      <c r="B58" s="17" t="s">
        <v>101</v>
      </c>
      <c r="C58" s="10">
        <f>6000*C56</f>
        <v>0</v>
      </c>
      <c r="D58" s="7" t="s">
        <v>91</v>
      </c>
    </row>
    <row r="59" spans="1:4" x14ac:dyDescent="0.25">
      <c r="B59" s="17" t="s">
        <v>102</v>
      </c>
      <c r="C59" s="10">
        <f>6000*C57</f>
        <v>0</v>
      </c>
      <c r="D59" s="7" t="s">
        <v>92</v>
      </c>
    </row>
    <row r="61" spans="1:4" x14ac:dyDescent="0.25">
      <c r="A61" s="19" t="s">
        <v>41</v>
      </c>
      <c r="B61" s="16" t="s">
        <v>24</v>
      </c>
      <c r="C61" s="12">
        <f>SUM(C62:C66)</f>
        <v>0</v>
      </c>
    </row>
    <row r="62" spans="1:4" x14ac:dyDescent="0.25">
      <c r="A62" s="12">
        <v>1</v>
      </c>
      <c r="B62" s="7"/>
      <c r="C62" s="6"/>
      <c r="D62" s="7"/>
    </row>
    <row r="63" spans="1:4" x14ac:dyDescent="0.25">
      <c r="A63" s="12">
        <v>2</v>
      </c>
      <c r="B63" s="7"/>
      <c r="C63" s="6"/>
      <c r="D63" s="7"/>
    </row>
    <row r="64" spans="1:4" x14ac:dyDescent="0.25">
      <c r="A64" s="12">
        <v>3</v>
      </c>
      <c r="B64" s="7"/>
      <c r="C64" s="6"/>
      <c r="D64" s="7"/>
    </row>
    <row r="65" spans="1:6" x14ac:dyDescent="0.25">
      <c r="A65" s="12">
        <v>4</v>
      </c>
      <c r="B65" s="7"/>
      <c r="C65" s="6"/>
      <c r="D65" s="7"/>
    </row>
    <row r="66" spans="1:6" x14ac:dyDescent="0.25">
      <c r="A66" s="12">
        <v>5</v>
      </c>
      <c r="B66" s="7"/>
      <c r="C66" s="6"/>
      <c r="D66" s="7"/>
    </row>
    <row r="68" spans="1:6" x14ac:dyDescent="0.25">
      <c r="A68" s="12">
        <v>1</v>
      </c>
      <c r="B68" s="17" t="s">
        <v>47</v>
      </c>
    </row>
    <row r="69" spans="1:6" x14ac:dyDescent="0.25">
      <c r="A69" s="12">
        <v>2</v>
      </c>
      <c r="B69" s="17" t="s">
        <v>57</v>
      </c>
    </row>
    <row r="70" spans="1:6" x14ac:dyDescent="0.25">
      <c r="A70" s="12">
        <v>3</v>
      </c>
      <c r="B70" s="17" t="s">
        <v>68</v>
      </c>
    </row>
    <row r="71" spans="1:6" hidden="1" x14ac:dyDescent="0.25"/>
    <row r="72" spans="1:6" hidden="1" x14ac:dyDescent="0.25"/>
    <row r="73" spans="1:6" hidden="1" x14ac:dyDescent="0.25">
      <c r="B73" s="12" t="s">
        <v>7</v>
      </c>
    </row>
    <row r="74" spans="1:6" hidden="1" x14ac:dyDescent="0.25">
      <c r="B74" s="12" t="s">
        <v>8</v>
      </c>
    </row>
    <row r="75" spans="1:6" hidden="1" x14ac:dyDescent="0.25">
      <c r="B75" s="12" t="s">
        <v>11</v>
      </c>
      <c r="C75" s="17">
        <v>16</v>
      </c>
    </row>
    <row r="76" spans="1:6" hidden="1" x14ac:dyDescent="0.25">
      <c r="B76" s="12"/>
      <c r="C76" s="17">
        <v>12</v>
      </c>
    </row>
    <row r="77" spans="1:6" hidden="1" x14ac:dyDescent="0.25">
      <c r="B77" s="12"/>
      <c r="C77" s="17"/>
    </row>
    <row r="78" spans="1:6" hidden="1" x14ac:dyDescent="0.25">
      <c r="B78" s="12" t="s">
        <v>44</v>
      </c>
      <c r="C78" s="32">
        <f>320000/40</f>
        <v>8000</v>
      </c>
    </row>
    <row r="79" spans="1:6" hidden="1" x14ac:dyDescent="0.25">
      <c r="B79" s="12" t="s">
        <v>45</v>
      </c>
      <c r="C79" s="33">
        <f>ROUND(AVERAGE(F86:G86)/40,-1)</f>
        <v>9960</v>
      </c>
    </row>
    <row r="80" spans="1:6" hidden="1" x14ac:dyDescent="0.25">
      <c r="B80" s="12"/>
      <c r="C80" s="17"/>
      <c r="F80" s="20" t="s">
        <v>44</v>
      </c>
    </row>
    <row r="81" spans="2:9" hidden="1" x14ac:dyDescent="0.25">
      <c r="B81" s="12" t="s">
        <v>32</v>
      </c>
      <c r="C81" s="17"/>
      <c r="F81" s="20">
        <v>2022</v>
      </c>
      <c r="G81" s="17">
        <v>2021</v>
      </c>
      <c r="H81" s="17">
        <v>2020</v>
      </c>
      <c r="I81" s="17">
        <v>2019</v>
      </c>
    </row>
    <row r="82" spans="2:9" hidden="1" x14ac:dyDescent="0.25">
      <c r="B82" s="12" t="s">
        <v>33</v>
      </c>
      <c r="C82" s="17"/>
      <c r="F82" s="34">
        <v>320000</v>
      </c>
      <c r="G82" s="32">
        <v>320000</v>
      </c>
      <c r="H82" s="32">
        <v>320000</v>
      </c>
      <c r="I82" s="32">
        <v>320000</v>
      </c>
    </row>
    <row r="83" spans="2:9" hidden="1" x14ac:dyDescent="0.25">
      <c r="B83" s="12" t="s">
        <v>34</v>
      </c>
      <c r="C83" s="17"/>
    </row>
    <row r="84" spans="2:9" hidden="1" x14ac:dyDescent="0.25">
      <c r="B84" s="12">
        <v>0</v>
      </c>
      <c r="C84" s="17"/>
      <c r="F84" s="20" t="s">
        <v>45</v>
      </c>
    </row>
    <row r="85" spans="2:9" hidden="1" x14ac:dyDescent="0.25">
      <c r="B85" s="12">
        <v>775</v>
      </c>
      <c r="C85" s="17"/>
      <c r="F85" s="20">
        <v>2023</v>
      </c>
      <c r="G85" s="17">
        <v>2022</v>
      </c>
    </row>
    <row r="86" spans="2:9" hidden="1" x14ac:dyDescent="0.25">
      <c r="B86" s="12">
        <v>1000</v>
      </c>
      <c r="C86" s="17"/>
      <c r="F86" s="34">
        <v>419000</v>
      </c>
      <c r="G86" s="32">
        <v>378000</v>
      </c>
    </row>
    <row r="87" spans="2:9" hidden="1" x14ac:dyDescent="0.25">
      <c r="B87" s="12">
        <v>1225</v>
      </c>
      <c r="C87" s="17"/>
    </row>
    <row r="88" spans="2:9" hidden="1" x14ac:dyDescent="0.25"/>
    <row r="89" spans="2:9" hidden="1" x14ac:dyDescent="0.25"/>
  </sheetData>
  <sheetProtection algorithmName="SHA-512" hashValue="HbCMIGPtSK8uGn6+nK/S/4opRhQb2Pi9i5wTXMGfE09WlN0tBtxhtM3AQofnE6e6ycCfdA6NKaZ50n1zPbDgug==" saltValue="7+IMihgG1ZVx0jccfLLQEw==" spinCount="100000" sheet="1" objects="1" scenarios="1"/>
  <mergeCells count="5">
    <mergeCell ref="G18:I18"/>
    <mergeCell ref="C2:D2"/>
    <mergeCell ref="C3:D3"/>
    <mergeCell ref="F4:H4"/>
    <mergeCell ref="F13:I13"/>
  </mergeCells>
  <phoneticPr fontId="10" type="noConversion"/>
  <dataValidations count="9">
    <dataValidation type="list" allowBlank="1" showInputMessage="1" showErrorMessage="1" prompt="Select one" sqref="C8" xr:uid="{16CE3D2F-6FA8-B745-A6E1-0CB002C6E668}">
      <formula1>$G$19:$I$19</formula1>
    </dataValidation>
    <dataValidation allowBlank="1" showInputMessage="1" showErrorMessage="1" prompt="Fill in the Number based on Min. Students as per budget discussed with Dean." sqref="C12" xr:uid="{86EA12B2-7917-EE40-AA40-9C5740E692F0}"/>
    <dataValidation type="list" allowBlank="1" showInputMessage="1" showErrorMessage="1" sqref="C33 C30" xr:uid="{AFBFFBA1-C3C8-8E4B-BA33-219CD1BC293B}">
      <formula1>$B$84:$B$87</formula1>
    </dataValidation>
    <dataValidation type="list" allowBlank="1" showInputMessage="1" showErrorMessage="1" prompt="Select One" sqref="C6" xr:uid="{E5A206AB-BF1D-B34D-9411-03102BF07B9A}">
      <formula1>$B$75:$B$75</formula1>
    </dataValidation>
    <dataValidation type="list" allowBlank="1" showInputMessage="1" showErrorMessage="1" promptTitle="Select One" prompt="If the course is open to both UG &amp; PG, select UG. Otherwise select the relevant option." sqref="C7" xr:uid="{0489D6B2-16E5-FA45-9430-AF216DC0C596}">
      <formula1>$B$78:$B$79</formula1>
    </dataValidation>
    <dataValidation type="list" allowBlank="1" showInputMessage="1" showErrorMessage="1" sqref="C23" xr:uid="{0690BAC0-DB16-7048-820D-74B954974900}">
      <formula1>$B$73:$B$74</formula1>
    </dataValidation>
    <dataValidation type="whole" allowBlank="1" showInputMessage="1" showErrorMessage="1" sqref="C45" xr:uid="{5891F76A-E379-804F-B4BD-C1FF80F8DB0E}">
      <formula1>0</formula1>
      <formula2>1000000</formula2>
    </dataValidation>
    <dataValidation type="whole" allowBlank="1" showInputMessage="1" showErrorMessage="1" sqref="C56:C57" xr:uid="{4DDF0A88-FF65-A745-BEB7-D137E1186B3F}">
      <formula1>0</formula1>
      <formula2>100</formula2>
    </dataValidation>
    <dataValidation type="list" allowBlank="1" showInputMessage="1" showErrorMessage="1" errorTitle="Select an option" error="Select an option" prompt="Select One" sqref="C9" xr:uid="{4895622E-0FB2-7540-A2C3-22ABCCAFAFB9}">
      <formula1>$F$20:$F$23</formula1>
    </dataValidation>
  </dataValidations>
  <pageMargins left="0.7" right="0.7" top="0.75" bottom="0.75" header="0.3" footer="0.3"/>
  <pageSetup paperSize="9" scale="71" orientation="portrait" r:id="rId1"/>
  <rowBreaks count="1" manualBreakCount="1">
    <brk id="72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E82C-AB39-CB49-B9F5-464452D8D0BB}">
  <dimension ref="A1:I87"/>
  <sheetViews>
    <sheetView tabSelected="1" view="pageBreakPreview" zoomScale="70" zoomScaleNormal="165" zoomScaleSheetLayoutView="70" workbookViewId="0">
      <selection activeCell="C10" sqref="C10"/>
    </sheetView>
  </sheetViews>
  <sheetFormatPr defaultColWidth="10.875" defaultRowHeight="15" x14ac:dyDescent="0.25"/>
  <cols>
    <col min="1" max="1" width="4.5" style="12" customWidth="1"/>
    <col min="2" max="2" width="31" style="17" customWidth="1"/>
    <col min="3" max="3" width="20.375" style="12" customWidth="1"/>
    <col min="4" max="4" width="55.5" style="17" customWidth="1"/>
    <col min="5" max="5" width="6" style="17" customWidth="1"/>
    <col min="6" max="6" width="21.625" style="20" customWidth="1"/>
    <col min="7" max="7" width="12" style="17" bestFit="1" customWidth="1"/>
    <col min="8" max="16384" width="10.875" style="17"/>
  </cols>
  <sheetData>
    <row r="1" spans="1:9" s="15" customFormat="1" ht="18.75" x14ac:dyDescent="0.25">
      <c r="A1" s="13"/>
      <c r="B1" s="14" t="s">
        <v>108</v>
      </c>
      <c r="C1" s="13"/>
    </row>
    <row r="2" spans="1:9" x14ac:dyDescent="0.25">
      <c r="B2" s="16" t="s">
        <v>81</v>
      </c>
      <c r="C2" s="42"/>
      <c r="D2" s="42"/>
      <c r="F2" s="18"/>
    </row>
    <row r="3" spans="1:9" x14ac:dyDescent="0.25">
      <c r="B3" s="16" t="s">
        <v>82</v>
      </c>
      <c r="C3" s="42"/>
      <c r="D3" s="42"/>
      <c r="F3" s="18"/>
    </row>
    <row r="4" spans="1:9" x14ac:dyDescent="0.25">
      <c r="B4" s="16"/>
      <c r="F4" s="40" t="s">
        <v>66</v>
      </c>
      <c r="G4" s="40"/>
      <c r="H4" s="40"/>
    </row>
    <row r="5" spans="1:9" x14ac:dyDescent="0.25">
      <c r="A5" s="19" t="s">
        <v>33</v>
      </c>
      <c r="B5" s="16" t="s">
        <v>58</v>
      </c>
      <c r="C5" s="19" t="s">
        <v>59</v>
      </c>
      <c r="D5" s="16" t="s">
        <v>60</v>
      </c>
      <c r="G5" s="12" t="s">
        <v>11</v>
      </c>
      <c r="H5" s="12" t="s">
        <v>12</v>
      </c>
    </row>
    <row r="6" spans="1:9" ht="20.100000000000001" customHeight="1" x14ac:dyDescent="0.25">
      <c r="A6" s="12">
        <v>1</v>
      </c>
      <c r="B6" s="17" t="s">
        <v>10</v>
      </c>
      <c r="C6" s="12" t="s">
        <v>12</v>
      </c>
      <c r="D6" s="7" t="s">
        <v>65</v>
      </c>
      <c r="F6" s="20" t="s">
        <v>9</v>
      </c>
      <c r="G6" s="17">
        <v>12</v>
      </c>
      <c r="H6" s="17">
        <v>12</v>
      </c>
    </row>
    <row r="7" spans="1:9" x14ac:dyDescent="0.25">
      <c r="A7" s="12">
        <v>2</v>
      </c>
      <c r="B7" s="17" t="s">
        <v>43</v>
      </c>
      <c r="C7" s="6" t="s">
        <v>45</v>
      </c>
      <c r="D7" s="7" t="s">
        <v>65</v>
      </c>
      <c r="F7" s="20" t="s">
        <v>55</v>
      </c>
      <c r="G7" s="17">
        <v>12</v>
      </c>
      <c r="H7" s="17">
        <v>36</v>
      </c>
    </row>
    <row r="8" spans="1:9" x14ac:dyDescent="0.25">
      <c r="A8" s="12">
        <v>3</v>
      </c>
      <c r="B8" s="17" t="s">
        <v>0</v>
      </c>
      <c r="C8" s="12">
        <v>2</v>
      </c>
      <c r="D8" s="7" t="s">
        <v>65</v>
      </c>
    </row>
    <row r="9" spans="1:9" x14ac:dyDescent="0.25">
      <c r="A9" s="12">
        <v>4</v>
      </c>
      <c r="B9" s="17" t="s">
        <v>1</v>
      </c>
      <c r="C9" s="11" t="s">
        <v>2</v>
      </c>
      <c r="D9" s="7" t="s">
        <v>65</v>
      </c>
      <c r="F9" s="17"/>
    </row>
    <row r="10" spans="1:9" x14ac:dyDescent="0.25">
      <c r="A10" s="17">
        <v>5</v>
      </c>
      <c r="B10" s="17" t="s">
        <v>87</v>
      </c>
      <c r="C10" s="12">
        <f>IF(C23=F19,INDEX(G20:I23,MATCH(C9,F20:F23),MATCH(C8,G19:I19)),INDEX(G26:I29,MATCH(C9,F26:F29),MATCH(C8,G19:I19)))</f>
        <v>12</v>
      </c>
    </row>
    <row r="12" spans="1:9" ht="18.75" customHeight="1" x14ac:dyDescent="0.25">
      <c r="A12" s="12">
        <v>6</v>
      </c>
      <c r="B12" s="17" t="s">
        <v>39</v>
      </c>
      <c r="C12" s="6">
        <v>10</v>
      </c>
      <c r="D12" s="7" t="s">
        <v>65</v>
      </c>
    </row>
    <row r="13" spans="1:9" x14ac:dyDescent="0.25">
      <c r="A13" s="35">
        <v>7</v>
      </c>
      <c r="B13" s="36" t="s">
        <v>29</v>
      </c>
      <c r="C13" s="37">
        <f>VLOOKUP(C7,B78:C79,2,FALSE)</f>
        <v>9960</v>
      </c>
      <c r="F13" s="41" t="s">
        <v>86</v>
      </c>
      <c r="G13" s="41"/>
      <c r="H13" s="41"/>
      <c r="I13" s="41"/>
    </row>
    <row r="14" spans="1:9" hidden="1" x14ac:dyDescent="0.25">
      <c r="A14" s="12">
        <v>8</v>
      </c>
      <c r="B14" s="16" t="s">
        <v>31</v>
      </c>
      <c r="C14" s="24">
        <f>C12*C13*C8</f>
        <v>199200</v>
      </c>
    </row>
    <row r="15" spans="1:9" hidden="1" x14ac:dyDescent="0.25">
      <c r="A15" s="12">
        <v>9</v>
      </c>
      <c r="B15" s="12" t="s">
        <v>36</v>
      </c>
      <c r="C15" s="23">
        <f>0.5*C14</f>
        <v>99600</v>
      </c>
    </row>
    <row r="16" spans="1:9" hidden="1" x14ac:dyDescent="0.25">
      <c r="A16" s="12">
        <v>10</v>
      </c>
      <c r="B16" s="12" t="s">
        <v>37</v>
      </c>
      <c r="C16" s="23">
        <f>C14-C15</f>
        <v>99600</v>
      </c>
    </row>
    <row r="17" spans="1:9" hidden="1" x14ac:dyDescent="0.25">
      <c r="A17" s="12">
        <v>11</v>
      </c>
      <c r="B17" s="16" t="s">
        <v>30</v>
      </c>
      <c r="C17" s="24">
        <f>C41+C47+C61</f>
        <v>96000</v>
      </c>
    </row>
    <row r="18" spans="1:9" hidden="1" x14ac:dyDescent="0.25">
      <c r="A18" s="17">
        <v>12</v>
      </c>
      <c r="B18" s="16" t="s">
        <v>38</v>
      </c>
      <c r="C18" s="8" t="str">
        <f>IF(C16-C17&gt;0,"Surplus",IF(C16-C17=0,"Break Even","Deficit"))</f>
        <v>Surplus</v>
      </c>
      <c r="G18" s="38" t="s">
        <v>46</v>
      </c>
      <c r="H18" s="38"/>
      <c r="I18" s="38"/>
    </row>
    <row r="19" spans="1:9" x14ac:dyDescent="0.25">
      <c r="C19" s="23"/>
      <c r="F19" s="25" t="s">
        <v>7</v>
      </c>
      <c r="G19" s="26">
        <v>2</v>
      </c>
      <c r="H19" s="26">
        <v>4</v>
      </c>
      <c r="I19" s="26">
        <v>6</v>
      </c>
    </row>
    <row r="20" spans="1:9" x14ac:dyDescent="0.25">
      <c r="B20" s="27" t="s">
        <v>35</v>
      </c>
      <c r="C20" s="28" t="str">
        <f>IF(C17/C16&lt;=1,"Yes",IF(C17/C16&lt;=1.2,"Special Approval","No"))</f>
        <v>Yes</v>
      </c>
      <c r="F20" s="20" t="s">
        <v>48</v>
      </c>
      <c r="G20" s="17">
        <v>12</v>
      </c>
      <c r="H20" s="17">
        <v>12</v>
      </c>
      <c r="I20" s="17">
        <v>12</v>
      </c>
    </row>
    <row r="21" spans="1:9" x14ac:dyDescent="0.25">
      <c r="C21" s="23"/>
      <c r="F21" s="20" t="s">
        <v>2</v>
      </c>
      <c r="G21" s="17">
        <v>12</v>
      </c>
      <c r="H21" s="17">
        <v>12</v>
      </c>
      <c r="I21" s="17">
        <v>12</v>
      </c>
    </row>
    <row r="22" spans="1:9" x14ac:dyDescent="0.25">
      <c r="A22" s="19" t="s">
        <v>26</v>
      </c>
      <c r="B22" s="16" t="s">
        <v>40</v>
      </c>
      <c r="F22" s="20" t="s">
        <v>3</v>
      </c>
      <c r="G22" s="17">
        <v>22</v>
      </c>
      <c r="H22" s="17">
        <v>20</v>
      </c>
      <c r="I22" s="17">
        <v>19</v>
      </c>
    </row>
    <row r="23" spans="1:9" ht="45" x14ac:dyDescent="0.25">
      <c r="A23" s="12">
        <v>1</v>
      </c>
      <c r="B23" s="17" t="s">
        <v>6</v>
      </c>
      <c r="C23" s="6" t="s">
        <v>7</v>
      </c>
      <c r="F23" s="20" t="s">
        <v>69</v>
      </c>
      <c r="G23" s="17">
        <v>31</v>
      </c>
      <c r="H23" s="17">
        <v>25</v>
      </c>
      <c r="I23" s="17">
        <v>23</v>
      </c>
    </row>
    <row r="24" spans="1:9" x14ac:dyDescent="0.25">
      <c r="A24" s="17"/>
    </row>
    <row r="25" spans="1:9" x14ac:dyDescent="0.25">
      <c r="A25" s="12">
        <v>2</v>
      </c>
      <c r="B25" s="17" t="s">
        <v>4</v>
      </c>
      <c r="C25" s="12">
        <f>C8*IF(C6=G5,G6,IF(C6=H5,H6,"Error"))</f>
        <v>24</v>
      </c>
      <c r="F25" s="25" t="s">
        <v>8</v>
      </c>
      <c r="G25" s="29"/>
      <c r="H25" s="29"/>
      <c r="I25" s="29"/>
    </row>
    <row r="26" spans="1:9" x14ac:dyDescent="0.25">
      <c r="A26" s="12">
        <v>3</v>
      </c>
      <c r="B26" s="17" t="s">
        <v>70</v>
      </c>
      <c r="C26" s="12">
        <f>C25*IF(C6=G5,1,3)</f>
        <v>72</v>
      </c>
      <c r="F26" s="20" t="s">
        <v>48</v>
      </c>
      <c r="G26" s="17">
        <v>15</v>
      </c>
      <c r="H26" s="17">
        <v>15</v>
      </c>
      <c r="I26" s="17">
        <v>15</v>
      </c>
    </row>
    <row r="27" spans="1:9" x14ac:dyDescent="0.25">
      <c r="A27" s="12">
        <v>4</v>
      </c>
      <c r="B27" s="17" t="s">
        <v>5</v>
      </c>
      <c r="C27" s="12">
        <f>IF(C23=F19,C25+C26,C28/2)</f>
        <v>96</v>
      </c>
      <c r="F27" s="20" t="s">
        <v>2</v>
      </c>
      <c r="G27" s="17">
        <v>15</v>
      </c>
      <c r="H27" s="17">
        <v>15</v>
      </c>
      <c r="I27" s="17">
        <v>15</v>
      </c>
    </row>
    <row r="28" spans="1:9" x14ac:dyDescent="0.25">
      <c r="A28" s="12">
        <v>5</v>
      </c>
      <c r="B28" s="17" t="s">
        <v>17</v>
      </c>
      <c r="C28" s="12">
        <f>IF(C23=F19,C27,IF(C23=F25,(C25*2)+C26,"error"))</f>
        <v>96</v>
      </c>
      <c r="F28" s="20" t="s">
        <v>3</v>
      </c>
      <c r="G28" s="17">
        <v>33</v>
      </c>
      <c r="H28" s="17">
        <v>29</v>
      </c>
      <c r="I28" s="17">
        <v>27</v>
      </c>
    </row>
    <row r="29" spans="1:9" ht="45" x14ac:dyDescent="0.25">
      <c r="F29" s="20" t="str">
        <f>F23</f>
        <v>Travel International / International VF Travelling to India</v>
      </c>
      <c r="G29" s="17">
        <v>51</v>
      </c>
      <c r="H29" s="17">
        <v>40</v>
      </c>
      <c r="I29" s="17">
        <v>35</v>
      </c>
    </row>
    <row r="30" spans="1:9" x14ac:dyDescent="0.25">
      <c r="A30" s="12">
        <v>6</v>
      </c>
      <c r="B30" s="17" t="s">
        <v>13</v>
      </c>
      <c r="C30" s="6">
        <v>1000</v>
      </c>
      <c r="D30" s="7" t="s">
        <v>104</v>
      </c>
    </row>
    <row r="31" spans="1:9" x14ac:dyDescent="0.25">
      <c r="B31" s="17" t="s">
        <v>49</v>
      </c>
      <c r="C31" s="6">
        <v>24</v>
      </c>
      <c r="D31" s="7" t="s">
        <v>106</v>
      </c>
    </row>
    <row r="32" spans="1:9" x14ac:dyDescent="0.25">
      <c r="C32" s="17"/>
    </row>
    <row r="33" spans="1:4" x14ac:dyDescent="0.25">
      <c r="A33" s="12">
        <v>7</v>
      </c>
      <c r="B33" s="17" t="s">
        <v>14</v>
      </c>
      <c r="C33" s="6">
        <v>775</v>
      </c>
      <c r="D33" s="7" t="s">
        <v>105</v>
      </c>
    </row>
    <row r="34" spans="1:4" x14ac:dyDescent="0.25">
      <c r="B34" s="17" t="s">
        <v>50</v>
      </c>
      <c r="C34" s="6">
        <v>24</v>
      </c>
      <c r="D34" s="7" t="s">
        <v>107</v>
      </c>
    </row>
    <row r="35" spans="1:4" x14ac:dyDescent="0.25">
      <c r="B35" s="17" t="s">
        <v>83</v>
      </c>
      <c r="C35" s="30" t="str">
        <f>IF(C31+C34=C28,"OK","Check Total")</f>
        <v>Check Total</v>
      </c>
      <c r="D35" s="31"/>
    </row>
    <row r="37" spans="1:4" x14ac:dyDescent="0.25">
      <c r="A37" s="12">
        <v>8</v>
      </c>
      <c r="B37" s="17" t="s">
        <v>15</v>
      </c>
      <c r="C37" s="6"/>
      <c r="D37" s="7" t="s">
        <v>85</v>
      </c>
    </row>
    <row r="38" spans="1:4" x14ac:dyDescent="0.25">
      <c r="A38" s="12">
        <v>9</v>
      </c>
      <c r="B38" s="17" t="s">
        <v>16</v>
      </c>
      <c r="C38" s="6"/>
      <c r="D38" s="7" t="s">
        <v>84</v>
      </c>
    </row>
    <row r="40" spans="1:4" x14ac:dyDescent="0.25">
      <c r="A40" s="19" t="s">
        <v>27</v>
      </c>
      <c r="B40" s="16" t="s">
        <v>25</v>
      </c>
    </row>
    <row r="41" spans="1:4" x14ac:dyDescent="0.25">
      <c r="A41" s="12">
        <v>1</v>
      </c>
      <c r="B41" s="16" t="s">
        <v>23</v>
      </c>
      <c r="C41" s="24">
        <f>SUM(C42:C45)</f>
        <v>24000</v>
      </c>
    </row>
    <row r="42" spans="1:4" x14ac:dyDescent="0.25">
      <c r="A42" s="12">
        <v>2</v>
      </c>
      <c r="B42" s="17" t="s">
        <v>18</v>
      </c>
      <c r="C42" s="9">
        <f>C30*C31</f>
        <v>24000</v>
      </c>
    </row>
    <row r="43" spans="1:4" x14ac:dyDescent="0.25">
      <c r="A43" s="12">
        <v>3</v>
      </c>
      <c r="B43" s="17" t="s">
        <v>19</v>
      </c>
      <c r="C43" s="9">
        <f>IF(C23="One tutor",0,C33*C34)</f>
        <v>0</v>
      </c>
    </row>
    <row r="44" spans="1:4" x14ac:dyDescent="0.25">
      <c r="A44" s="12">
        <v>4</v>
      </c>
      <c r="B44" s="17" t="s">
        <v>20</v>
      </c>
      <c r="C44" s="9">
        <f>C38*C37</f>
        <v>0</v>
      </c>
    </row>
    <row r="45" spans="1:4" x14ac:dyDescent="0.25">
      <c r="A45" s="12">
        <v>5</v>
      </c>
      <c r="B45" s="17" t="s">
        <v>56</v>
      </c>
      <c r="C45" s="10"/>
      <c r="D45" s="7" t="s">
        <v>63</v>
      </c>
    </row>
    <row r="47" spans="1:4" x14ac:dyDescent="0.25">
      <c r="A47" s="19" t="s">
        <v>28</v>
      </c>
      <c r="B47" s="16" t="s">
        <v>21</v>
      </c>
      <c r="C47" s="23">
        <f>SUM(C48:C52)+C58</f>
        <v>72000</v>
      </c>
    </row>
    <row r="48" spans="1:4" x14ac:dyDescent="0.25">
      <c r="A48" s="12">
        <v>1</v>
      </c>
      <c r="B48" s="17" t="s">
        <v>93</v>
      </c>
      <c r="C48" s="10"/>
      <c r="D48" s="7" t="s">
        <v>67</v>
      </c>
    </row>
    <row r="49" spans="1:4" x14ac:dyDescent="0.25">
      <c r="B49" s="17" t="s">
        <v>94</v>
      </c>
      <c r="C49" s="10"/>
      <c r="D49" s="7"/>
    </row>
    <row r="50" spans="1:4" x14ac:dyDescent="0.25">
      <c r="A50" s="12">
        <v>2</v>
      </c>
      <c r="B50" s="17" t="s">
        <v>95</v>
      </c>
      <c r="C50" s="10"/>
      <c r="D50" s="7" t="s">
        <v>64</v>
      </c>
    </row>
    <row r="51" spans="1:4" x14ac:dyDescent="0.25">
      <c r="B51" s="17" t="s">
        <v>96</v>
      </c>
      <c r="C51" s="10"/>
      <c r="D51" s="7"/>
    </row>
    <row r="52" spans="1:4" x14ac:dyDescent="0.25">
      <c r="A52" s="12">
        <v>3</v>
      </c>
      <c r="B52" s="17" t="s">
        <v>54</v>
      </c>
      <c r="C52" s="9">
        <f>C54*C56</f>
        <v>0</v>
      </c>
    </row>
    <row r="53" spans="1:4" x14ac:dyDescent="0.25">
      <c r="C53" s="9"/>
    </row>
    <row r="54" spans="1:4" x14ac:dyDescent="0.25">
      <c r="A54" s="12">
        <v>4</v>
      </c>
      <c r="B54" s="17" t="s">
        <v>97</v>
      </c>
      <c r="C54" s="10"/>
      <c r="D54" s="7" t="s">
        <v>103</v>
      </c>
    </row>
    <row r="55" spans="1:4" x14ac:dyDescent="0.25">
      <c r="B55" s="17" t="s">
        <v>98</v>
      </c>
      <c r="C55" s="10"/>
      <c r="D55" s="7" t="s">
        <v>103</v>
      </c>
    </row>
    <row r="56" spans="1:4" x14ac:dyDescent="0.25">
      <c r="A56" s="12">
        <v>5</v>
      </c>
      <c r="B56" s="17" t="s">
        <v>99</v>
      </c>
      <c r="C56" s="10"/>
      <c r="D56" s="7"/>
    </row>
    <row r="57" spans="1:4" x14ac:dyDescent="0.25">
      <c r="B57" s="17" t="s">
        <v>100</v>
      </c>
      <c r="C57" s="10"/>
      <c r="D57" s="7"/>
    </row>
    <row r="58" spans="1:4" x14ac:dyDescent="0.25">
      <c r="A58" s="12">
        <v>6</v>
      </c>
      <c r="B58" s="17" t="s">
        <v>101</v>
      </c>
      <c r="C58" s="10">
        <f>36000*2</f>
        <v>72000</v>
      </c>
      <c r="D58" s="7" t="s">
        <v>91</v>
      </c>
    </row>
    <row r="59" spans="1:4" x14ac:dyDescent="0.25">
      <c r="B59" s="17" t="s">
        <v>102</v>
      </c>
      <c r="C59" s="10"/>
      <c r="D59" s="7" t="s">
        <v>92</v>
      </c>
    </row>
    <row r="61" spans="1:4" x14ac:dyDescent="0.25">
      <c r="A61" s="19" t="s">
        <v>41</v>
      </c>
      <c r="B61" s="16" t="s">
        <v>24</v>
      </c>
      <c r="C61" s="12">
        <f>SUM(C62:C66)</f>
        <v>0</v>
      </c>
    </row>
    <row r="62" spans="1:4" x14ac:dyDescent="0.25">
      <c r="A62" s="12">
        <v>1</v>
      </c>
      <c r="B62" s="7"/>
      <c r="C62" s="6"/>
      <c r="D62" s="7"/>
    </row>
    <row r="63" spans="1:4" x14ac:dyDescent="0.25">
      <c r="A63" s="12">
        <v>2</v>
      </c>
      <c r="B63" s="7"/>
      <c r="C63" s="6"/>
      <c r="D63" s="7"/>
    </row>
    <row r="64" spans="1:4" x14ac:dyDescent="0.25">
      <c r="A64" s="12">
        <v>3</v>
      </c>
      <c r="B64" s="7"/>
      <c r="C64" s="6"/>
      <c r="D64" s="7"/>
    </row>
    <row r="65" spans="1:6" x14ac:dyDescent="0.25">
      <c r="A65" s="12">
        <v>4</v>
      </c>
      <c r="B65" s="7"/>
      <c r="C65" s="6"/>
      <c r="D65" s="7"/>
    </row>
    <row r="66" spans="1:6" x14ac:dyDescent="0.25">
      <c r="A66" s="12">
        <v>5</v>
      </c>
      <c r="B66" s="21"/>
      <c r="C66" s="22"/>
      <c r="D66" s="21"/>
    </row>
    <row r="68" spans="1:6" x14ac:dyDescent="0.25">
      <c r="A68" s="12">
        <v>1</v>
      </c>
      <c r="B68" s="17" t="s">
        <v>47</v>
      </c>
    </row>
    <row r="69" spans="1:6" x14ac:dyDescent="0.25">
      <c r="A69" s="12">
        <v>2</v>
      </c>
      <c r="B69" s="17" t="s">
        <v>57</v>
      </c>
    </row>
    <row r="70" spans="1:6" x14ac:dyDescent="0.25">
      <c r="A70" s="12">
        <v>3</v>
      </c>
      <c r="B70" s="17" t="s">
        <v>68</v>
      </c>
    </row>
    <row r="71" spans="1:6" hidden="1" x14ac:dyDescent="0.25"/>
    <row r="72" spans="1:6" hidden="1" x14ac:dyDescent="0.25"/>
    <row r="73" spans="1:6" hidden="1" x14ac:dyDescent="0.25">
      <c r="B73" s="12" t="s">
        <v>7</v>
      </c>
    </row>
    <row r="74" spans="1:6" hidden="1" x14ac:dyDescent="0.25">
      <c r="B74" s="12" t="s">
        <v>8</v>
      </c>
    </row>
    <row r="75" spans="1:6" hidden="1" x14ac:dyDescent="0.25">
      <c r="B75" s="12"/>
      <c r="C75" s="17">
        <v>16</v>
      </c>
    </row>
    <row r="76" spans="1:6" hidden="1" x14ac:dyDescent="0.25">
      <c r="B76" s="12" t="s">
        <v>12</v>
      </c>
      <c r="C76" s="17">
        <v>12</v>
      </c>
    </row>
    <row r="77" spans="1:6" hidden="1" x14ac:dyDescent="0.25">
      <c r="B77" s="12"/>
      <c r="C77" s="17"/>
    </row>
    <row r="78" spans="1:6" hidden="1" x14ac:dyDescent="0.25">
      <c r="B78" s="12" t="s">
        <v>44</v>
      </c>
      <c r="C78" s="32">
        <f>320000/40</f>
        <v>8000</v>
      </c>
    </row>
    <row r="79" spans="1:6" hidden="1" x14ac:dyDescent="0.25">
      <c r="B79" s="12" t="s">
        <v>45</v>
      </c>
      <c r="C79" s="33">
        <f>ROUND(AVERAGE(F86:G86)/40,-1)</f>
        <v>9960</v>
      </c>
    </row>
    <row r="80" spans="1:6" hidden="1" x14ac:dyDescent="0.25">
      <c r="B80" s="12"/>
      <c r="C80" s="17"/>
      <c r="F80" s="20" t="s">
        <v>44</v>
      </c>
    </row>
    <row r="81" spans="2:9" hidden="1" x14ac:dyDescent="0.25">
      <c r="B81" s="12" t="s">
        <v>32</v>
      </c>
      <c r="C81" s="17"/>
      <c r="F81" s="20">
        <v>2022</v>
      </c>
      <c r="G81" s="17">
        <v>2021</v>
      </c>
      <c r="H81" s="17">
        <v>2020</v>
      </c>
      <c r="I81" s="17">
        <v>2019</v>
      </c>
    </row>
    <row r="82" spans="2:9" hidden="1" x14ac:dyDescent="0.25">
      <c r="B82" s="12" t="s">
        <v>33</v>
      </c>
      <c r="C82" s="17"/>
      <c r="F82" s="34">
        <v>320000</v>
      </c>
      <c r="G82" s="32">
        <v>320000</v>
      </c>
      <c r="H82" s="32">
        <v>320000</v>
      </c>
      <c r="I82" s="32">
        <v>320000</v>
      </c>
    </row>
    <row r="83" spans="2:9" hidden="1" x14ac:dyDescent="0.25">
      <c r="B83" s="12" t="s">
        <v>34</v>
      </c>
      <c r="C83" s="17"/>
    </row>
    <row r="84" spans="2:9" hidden="1" x14ac:dyDescent="0.25">
      <c r="B84" s="12">
        <v>0</v>
      </c>
      <c r="C84" s="17"/>
      <c r="F84" s="20" t="s">
        <v>45</v>
      </c>
    </row>
    <row r="85" spans="2:9" hidden="1" x14ac:dyDescent="0.25">
      <c r="B85" s="12">
        <v>775</v>
      </c>
      <c r="C85" s="17"/>
      <c r="F85" s="20">
        <v>2023</v>
      </c>
      <c r="G85" s="17">
        <v>2022</v>
      </c>
    </row>
    <row r="86" spans="2:9" hidden="1" x14ac:dyDescent="0.25">
      <c r="B86" s="12">
        <v>1000</v>
      </c>
      <c r="C86" s="17"/>
      <c r="F86" s="34">
        <v>419000</v>
      </c>
      <c r="G86" s="32">
        <v>378000</v>
      </c>
    </row>
    <row r="87" spans="2:9" hidden="1" x14ac:dyDescent="0.25">
      <c r="B87" s="12">
        <v>1225</v>
      </c>
      <c r="C87" s="17"/>
    </row>
  </sheetData>
  <sheetProtection algorithmName="SHA-512" hashValue="xrBIW/SLuLEtXXb5H9fMpGtACSJ2KaA/Pg+XJW9I5Tk6AxcOYOTqdwMC5kVldATbj5xLxCq3sHQNH8c/dkf3GA==" saltValue="oKrQ2bIMzzninjL7d64iOg==" spinCount="100000" sheet="1" objects="1" scenarios="1"/>
  <mergeCells count="5">
    <mergeCell ref="C2:D2"/>
    <mergeCell ref="C3:D3"/>
    <mergeCell ref="F4:H4"/>
    <mergeCell ref="F13:I13"/>
    <mergeCell ref="G18:I18"/>
  </mergeCells>
  <dataValidations count="9">
    <dataValidation type="list" allowBlank="1" showInputMessage="1" showErrorMessage="1" errorTitle="Select an option" error="Select an option" prompt="Select One" sqref="C9" xr:uid="{DD7AFD6B-0987-814A-A358-72B68E05B5DA}">
      <formula1>$F$20:$F$21</formula1>
    </dataValidation>
    <dataValidation type="whole" allowBlank="1" showInputMessage="1" showErrorMessage="1" sqref="C56:C57" xr:uid="{6747AD29-DAE3-A245-B7BE-905834C38658}">
      <formula1>0</formula1>
      <formula2>100</formula2>
    </dataValidation>
    <dataValidation type="whole" allowBlank="1" showInputMessage="1" showErrorMessage="1" sqref="C45" xr:uid="{010D9776-3FB7-CC45-B741-86F88A55A079}">
      <formula1>0</formula1>
      <formula2>1000000</formula2>
    </dataValidation>
    <dataValidation type="list" allowBlank="1" showInputMessage="1" showErrorMessage="1" sqref="C23" xr:uid="{D95A3433-53EA-CD48-8E56-3C119DCF54B8}">
      <formula1>$B$73:$B$74</formula1>
    </dataValidation>
    <dataValidation type="list" allowBlank="1" showInputMessage="1" showErrorMessage="1" promptTitle="Select One" prompt="If the course is open to both UG &amp; PG, select UG. Otherwise select the relevant option." sqref="C7" xr:uid="{D5BF219C-7621-5548-8D8F-253CDA0E718A}">
      <formula1>$B$78:$B$79</formula1>
    </dataValidation>
    <dataValidation type="list" allowBlank="1" showInputMessage="1" showErrorMessage="1" prompt="Select One" sqref="C6" xr:uid="{77DD6D20-CA3C-4445-B20A-96D3F3C0D452}">
      <formula1>$B$76:$B$76</formula1>
    </dataValidation>
    <dataValidation type="list" allowBlank="1" showInputMessage="1" showErrorMessage="1" sqref="C33 C30" xr:uid="{2C09850D-5FF8-D240-85D2-9EE50C35FBD9}">
      <formula1>$B$84:$B$87</formula1>
    </dataValidation>
    <dataValidation allowBlank="1" showInputMessage="1" showErrorMessage="1" prompt="Fill in the Number based on Min. Students as per budget discussed with Dean." sqref="C12" xr:uid="{8B6AFC1D-15FF-B24C-AEA5-FA3F248ACA95}"/>
    <dataValidation type="list" allowBlank="1" showInputMessage="1" showErrorMessage="1" prompt="Select one" sqref="C8" xr:uid="{DE051D9E-4C6F-614E-974C-76833505E569}">
      <formula1>$G$19:$G$19</formula1>
    </dataValidation>
  </dataValidations>
  <pageMargins left="0.7" right="0.7" top="0.75" bottom="0.75" header="0.3" footer="0.3"/>
  <pageSetup paperSize="9" scale="71" orientation="portrait" r:id="rId1"/>
  <rowBreaks count="1" manualBreakCount="1">
    <brk id="72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357-E0C2-8148-B39F-AB84E2CFB0EC}">
  <dimension ref="B1:AF16"/>
  <sheetViews>
    <sheetView workbookViewId="0">
      <selection activeCell="F22" sqref="F22"/>
    </sheetView>
  </sheetViews>
  <sheetFormatPr defaultColWidth="11" defaultRowHeight="15.75" x14ac:dyDescent="0.25"/>
  <cols>
    <col min="4" max="4" width="14.375" customWidth="1"/>
    <col min="11" max="11" width="4" customWidth="1"/>
    <col min="14" max="14" width="3.125" customWidth="1"/>
  </cols>
  <sheetData>
    <row r="1" spans="2:32" x14ac:dyDescent="0.25">
      <c r="B1" t="s">
        <v>76</v>
      </c>
      <c r="C1" t="s">
        <v>44</v>
      </c>
      <c r="F1">
        <v>1</v>
      </c>
      <c r="Q1" s="3" t="s">
        <v>25</v>
      </c>
    </row>
    <row r="2" spans="2:32" s="5" customFormat="1" ht="31.5" x14ac:dyDescent="0.25">
      <c r="B2" s="5" t="s">
        <v>71</v>
      </c>
      <c r="C2" s="5" t="s">
        <v>72</v>
      </c>
      <c r="D2" s="5" t="s">
        <v>75</v>
      </c>
      <c r="E2" s="5" t="s">
        <v>77</v>
      </c>
      <c r="F2" s="5" t="s">
        <v>78</v>
      </c>
      <c r="G2" s="5" t="s">
        <v>79</v>
      </c>
      <c r="H2" s="5" t="s">
        <v>80</v>
      </c>
      <c r="I2" s="4" t="s">
        <v>13</v>
      </c>
      <c r="J2" s="4" t="s">
        <v>49</v>
      </c>
      <c r="K2" s="4"/>
      <c r="L2" s="4" t="s">
        <v>14</v>
      </c>
      <c r="M2" s="4" t="s">
        <v>50</v>
      </c>
      <c r="O2" s="4" t="s">
        <v>15</v>
      </c>
      <c r="P2" s="2" t="s">
        <v>16</v>
      </c>
      <c r="Q2" s="3" t="s">
        <v>23</v>
      </c>
      <c r="R2" s="2" t="s">
        <v>18</v>
      </c>
      <c r="S2" s="2" t="s">
        <v>19</v>
      </c>
    </row>
    <row r="3" spans="2:32" x14ac:dyDescent="0.25">
      <c r="B3">
        <v>2</v>
      </c>
      <c r="C3">
        <v>1</v>
      </c>
      <c r="D3" t="s">
        <v>48</v>
      </c>
      <c r="E3">
        <v>24</v>
      </c>
      <c r="F3">
        <f>E3*$F$1</f>
        <v>24</v>
      </c>
      <c r="G3">
        <f>(E3+F3)*C3</f>
        <v>48</v>
      </c>
      <c r="H3">
        <f>G3/C3</f>
        <v>48</v>
      </c>
    </row>
    <row r="4" spans="2:32" x14ac:dyDescent="0.25">
      <c r="C4">
        <v>1</v>
      </c>
      <c r="D4" t="s">
        <v>73</v>
      </c>
      <c r="E4">
        <v>24</v>
      </c>
      <c r="F4">
        <f t="shared" ref="F4:F6" si="0">E4*$F$1</f>
        <v>24</v>
      </c>
      <c r="G4">
        <f t="shared" ref="G4:G6" si="1">(E4+F4)*C4</f>
        <v>48</v>
      </c>
      <c r="H4">
        <f t="shared" ref="H4:H6" si="2">G4/C4</f>
        <v>48</v>
      </c>
    </row>
    <row r="5" spans="2:32" x14ac:dyDescent="0.25">
      <c r="C5">
        <v>1</v>
      </c>
      <c r="D5" t="s">
        <v>3</v>
      </c>
      <c r="E5">
        <v>24</v>
      </c>
      <c r="F5">
        <f t="shared" si="0"/>
        <v>24</v>
      </c>
      <c r="G5">
        <f t="shared" si="1"/>
        <v>48</v>
      </c>
      <c r="H5">
        <f t="shared" si="2"/>
        <v>48</v>
      </c>
    </row>
    <row r="6" spans="2:32" x14ac:dyDescent="0.25">
      <c r="C6">
        <v>1</v>
      </c>
      <c r="D6" t="s">
        <v>74</v>
      </c>
      <c r="E6">
        <v>24</v>
      </c>
      <c r="F6">
        <f t="shared" si="0"/>
        <v>24</v>
      </c>
      <c r="G6">
        <f t="shared" si="1"/>
        <v>48</v>
      </c>
      <c r="H6">
        <f t="shared" si="2"/>
        <v>48</v>
      </c>
    </row>
    <row r="16" spans="2:32" x14ac:dyDescent="0.25">
      <c r="G16" s="2"/>
      <c r="J16" s="2"/>
      <c r="O16" s="2" t="s">
        <v>20</v>
      </c>
      <c r="P16" s="2" t="s">
        <v>56</v>
      </c>
      <c r="Q16" s="2"/>
      <c r="R16" s="3" t="s">
        <v>21</v>
      </c>
      <c r="S16" s="2" t="s">
        <v>52</v>
      </c>
      <c r="T16" s="2" t="s">
        <v>53</v>
      </c>
      <c r="U16" s="2" t="s">
        <v>54</v>
      </c>
      <c r="V16" s="2" t="s">
        <v>42</v>
      </c>
      <c r="W16" s="2" t="s">
        <v>22</v>
      </c>
      <c r="X16" s="2" t="s">
        <v>51</v>
      </c>
      <c r="Y16" s="2"/>
      <c r="Z16" s="3" t="s">
        <v>24</v>
      </c>
      <c r="AA16" s="1"/>
      <c r="AB16" s="1"/>
      <c r="AC16" s="1"/>
      <c r="AD16" s="1"/>
      <c r="AE16" s="1"/>
      <c r="AF16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1. Elective</vt:lpstr>
      <vt:lpstr>2. Mandatory</vt:lpstr>
      <vt:lpstr>Sheet2</vt:lpstr>
      <vt:lpstr>'1. Elective'!Print_Area</vt:lpstr>
      <vt:lpstr>'2. Mandatory'!Print_Area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 University</dc:creator>
  <cp:lastModifiedBy>Kalpana Acharya</cp:lastModifiedBy>
  <cp:lastPrinted>2023-08-22T13:37:51Z</cp:lastPrinted>
  <dcterms:created xsi:type="dcterms:W3CDTF">2022-09-28T11:31:30Z</dcterms:created>
  <dcterms:modified xsi:type="dcterms:W3CDTF">2023-08-23T09:42:40Z</dcterms:modified>
</cp:coreProperties>
</file>